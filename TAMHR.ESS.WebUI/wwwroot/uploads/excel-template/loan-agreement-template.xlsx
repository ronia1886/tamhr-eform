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NEJG\Downloads\"/>
    </mc:Choice>
  </mc:AlternateContent>
  <xr:revisionPtr revIDLastSave="0" documentId="8_{490C00CB-97C2-42A0-99AB-F15B09409F5C}" xr6:coauthVersionLast="36" xr6:coauthVersionMax="36" xr10:uidLastSave="{00000000-0000-0000-0000-000000000000}"/>
  <bookViews>
    <workbookView xWindow="32760" yWindow="32760" windowWidth="20490" windowHeight="7365"/>
  </bookViews>
  <sheets>
    <sheet name="Simulasi" sheetId="14" r:id="rId1"/>
  </sheets>
  <definedNames>
    <definedName name="_xlnm.Print_Area" localSheetId="0">Simulasi!$A$1:$G$98</definedName>
    <definedName name="_xlnm.Print_Titles" localSheetId="0">Simulasi!$1:$13</definedName>
  </definedNames>
  <calcPr calcId="162913" fullCalcOnLoad="1"/>
</workbook>
</file>

<file path=xl/calcChain.xml><?xml version="1.0" encoding="utf-8"?>
<calcChain xmlns="http://schemas.openxmlformats.org/spreadsheetml/2006/main">
  <c r="C7" i="14" l="1"/>
  <c r="C14" i="14" s="1"/>
  <c r="B14" i="14"/>
  <c r="B15" i="14"/>
  <c r="B16" i="14" s="1"/>
  <c r="B17" i="14" s="1"/>
  <c r="B18" i="14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C10" i="14"/>
  <c r="D9" i="14" s="1"/>
  <c r="D8" i="14" s="1"/>
  <c r="A15" i="14"/>
  <c r="A16" i="14"/>
  <c r="A17" i="14" s="1"/>
  <c r="A18" i="14" s="1"/>
  <c r="A19" i="14" s="1"/>
  <c r="A20" i="14" s="1"/>
  <c r="A21" i="14" s="1"/>
  <c r="A22" i="14" s="1"/>
  <c r="A23" i="14" s="1"/>
  <c r="A24" i="14" s="1"/>
  <c r="A25" i="14" s="1"/>
  <c r="A26" i="14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E14" i="14"/>
  <c r="D14" i="14" l="1"/>
  <c r="F14" i="14" l="1"/>
  <c r="C15" i="14"/>
  <c r="G14" i="14"/>
  <c r="E15" i="14" l="1"/>
  <c r="D15" i="14" l="1"/>
  <c r="F15" i="14" l="1"/>
  <c r="G15" i="14"/>
  <c r="C16" i="14"/>
  <c r="E16" i="14" l="1"/>
  <c r="D16" i="14" l="1"/>
  <c r="F16" i="14" l="1"/>
  <c r="G16" i="14"/>
  <c r="C17" i="14"/>
  <c r="E17" i="14" l="1"/>
  <c r="D17" i="14" l="1"/>
  <c r="F17" i="14" l="1"/>
  <c r="G17" i="14"/>
  <c r="C18" i="14"/>
  <c r="E18" i="14" l="1"/>
  <c r="D18" i="14" l="1"/>
  <c r="F18" i="14" l="1"/>
  <c r="C19" i="14"/>
  <c r="G18" i="14"/>
  <c r="E19" i="14" l="1"/>
  <c r="D19" i="14" l="1"/>
  <c r="F19" i="14" l="1"/>
  <c r="G19" i="14"/>
  <c r="C20" i="14"/>
  <c r="E20" i="14" l="1"/>
  <c r="D20" i="14" s="1"/>
  <c r="F20" i="14" s="1"/>
  <c r="G20" i="14" l="1"/>
  <c r="C21" i="14"/>
  <c r="E21" i="14" l="1"/>
  <c r="D21" i="14" s="1"/>
  <c r="F21" i="14" s="1"/>
  <c r="G21" i="14"/>
  <c r="C22" i="14" l="1"/>
  <c r="E22" i="14" l="1"/>
  <c r="D22" i="14" s="1"/>
  <c r="F22" i="14" s="1"/>
  <c r="C23" i="14" l="1"/>
  <c r="G22" i="14"/>
  <c r="E23" i="14" l="1"/>
  <c r="D23" i="14" s="1"/>
  <c r="F23" i="14" s="1"/>
  <c r="G23" i="14"/>
  <c r="C24" i="14"/>
  <c r="E24" i="14" l="1"/>
  <c r="D24" i="14" s="1"/>
  <c r="F24" i="14" s="1"/>
  <c r="G24" i="14" l="1"/>
  <c r="C25" i="14"/>
  <c r="E25" i="14" l="1"/>
  <c r="D25" i="14" s="1"/>
  <c r="F25" i="14" s="1"/>
  <c r="C26" i="14" l="1"/>
  <c r="G25" i="14"/>
  <c r="E26" i="14" l="1"/>
  <c r="D26" i="14" s="1"/>
  <c r="F26" i="14" s="1"/>
  <c r="G26" i="14" l="1"/>
  <c r="C27" i="14"/>
  <c r="E27" i="14" l="1"/>
  <c r="D27" i="14" s="1"/>
  <c r="F27" i="14" s="1"/>
  <c r="C28" i="14"/>
  <c r="E28" i="14" l="1"/>
  <c r="D28" i="14" s="1"/>
  <c r="F28" i="14" s="1"/>
  <c r="G28" i="14"/>
  <c r="G27" i="14"/>
  <c r="C29" i="14" l="1"/>
  <c r="E29" i="14" l="1"/>
  <c r="D29" i="14" s="1"/>
  <c r="F29" i="14" s="1"/>
  <c r="C30" i="14"/>
  <c r="G29" i="14"/>
  <c r="E30" i="14" l="1"/>
  <c r="D30" i="14" s="1"/>
  <c r="F30" i="14" s="1"/>
  <c r="G30" i="14"/>
  <c r="C31" i="14"/>
  <c r="E31" i="14" l="1"/>
  <c r="D31" i="14" s="1"/>
  <c r="F31" i="14" s="1"/>
  <c r="G31" i="14"/>
  <c r="C32" i="14"/>
  <c r="E32" i="14" l="1"/>
  <c r="D32" i="14" s="1"/>
  <c r="F32" i="14" s="1"/>
  <c r="G32" i="14" l="1"/>
  <c r="C33" i="14"/>
  <c r="E33" i="14" l="1"/>
  <c r="D33" i="14" s="1"/>
  <c r="F33" i="14" s="1"/>
  <c r="C34" i="14"/>
  <c r="E34" i="14" l="1"/>
  <c r="D34" i="14" s="1"/>
  <c r="F34" i="14" s="1"/>
  <c r="C35" i="14"/>
  <c r="G34" i="14"/>
  <c r="G33" i="14"/>
  <c r="E35" i="14" l="1"/>
  <c r="D35" i="14" s="1"/>
  <c r="F35" i="14" s="1"/>
  <c r="C36" i="14"/>
  <c r="G35" i="14"/>
  <c r="E36" i="14" l="1"/>
  <c r="D36" i="14" s="1"/>
  <c r="F36" i="14" s="1"/>
  <c r="G36" i="14" l="1"/>
  <c r="C37" i="14"/>
  <c r="E37" i="14" l="1"/>
  <c r="D37" i="14" s="1"/>
  <c r="F37" i="14" s="1"/>
  <c r="G37" i="14"/>
  <c r="C38" i="14" l="1"/>
  <c r="E38" i="14" l="1"/>
  <c r="D38" i="14" s="1"/>
  <c r="F38" i="14" s="1"/>
  <c r="G38" i="14" l="1"/>
  <c r="C39" i="14"/>
  <c r="E39" i="14" l="1"/>
  <c r="D39" i="14" s="1"/>
  <c r="F39" i="14" s="1"/>
  <c r="C40" i="14"/>
  <c r="G39" i="14"/>
  <c r="E40" i="14" l="1"/>
  <c r="D40" i="14" s="1"/>
  <c r="F40" i="14" s="1"/>
  <c r="G40" i="14" l="1"/>
  <c r="C41" i="14"/>
  <c r="E41" i="14" l="1"/>
  <c r="D41" i="14" s="1"/>
  <c r="F41" i="14" s="1"/>
  <c r="G41" i="14"/>
  <c r="C42" i="14" l="1"/>
  <c r="E42" i="14" l="1"/>
  <c r="D42" i="14" s="1"/>
  <c r="F42" i="14" s="1"/>
  <c r="G42" i="14" l="1"/>
  <c r="C43" i="14"/>
  <c r="E43" i="14" l="1"/>
  <c r="D43" i="14" s="1"/>
  <c r="F43" i="14" s="1"/>
  <c r="G43" i="14"/>
  <c r="C44" i="14"/>
  <c r="E44" i="14" l="1"/>
  <c r="D44" i="14" s="1"/>
  <c r="F44" i="14" s="1"/>
  <c r="C45" i="14"/>
  <c r="E45" i="14" l="1"/>
  <c r="D45" i="14" s="1"/>
  <c r="F45" i="14" s="1"/>
  <c r="C46" i="14"/>
  <c r="G44" i="14"/>
  <c r="E46" i="14" l="1"/>
  <c r="D46" i="14" s="1"/>
  <c r="F46" i="14" s="1"/>
  <c r="G46" i="14"/>
  <c r="G45" i="14"/>
  <c r="C47" i="14" l="1"/>
  <c r="E47" i="14" l="1"/>
  <c r="D47" i="14" s="1"/>
  <c r="F47" i="14" s="1"/>
  <c r="G47" i="14"/>
  <c r="C48" i="14"/>
  <c r="E48" i="14" l="1"/>
  <c r="D48" i="14" s="1"/>
  <c r="F48" i="14" s="1"/>
  <c r="G48" i="14"/>
  <c r="C49" i="14"/>
  <c r="E49" i="14" l="1"/>
  <c r="D49" i="14" s="1"/>
  <c r="F49" i="14" s="1"/>
  <c r="C50" i="14"/>
  <c r="G49" i="14"/>
  <c r="E50" i="14" l="1"/>
  <c r="D50" i="14" s="1"/>
  <c r="F50" i="14" s="1"/>
  <c r="G50" i="14" l="1"/>
  <c r="C51" i="14"/>
  <c r="E51" i="14" l="1"/>
  <c r="D51" i="14" s="1"/>
  <c r="F51" i="14" s="1"/>
  <c r="C52" i="14" l="1"/>
  <c r="G51" i="14"/>
  <c r="E52" i="14" l="1"/>
  <c r="D52" i="14" s="1"/>
  <c r="F52" i="14" s="1"/>
  <c r="G52" i="14" l="1"/>
  <c r="C53" i="14"/>
  <c r="E53" i="14" l="1"/>
  <c r="D53" i="14" s="1"/>
  <c r="F53" i="14" s="1"/>
  <c r="G53" i="14"/>
  <c r="C54" i="14"/>
  <c r="E54" i="14" l="1"/>
  <c r="D54" i="14" s="1"/>
  <c r="F54" i="14" s="1"/>
  <c r="C55" i="14"/>
  <c r="G54" i="14"/>
  <c r="E55" i="14" l="1"/>
  <c r="D55" i="14" s="1"/>
  <c r="F55" i="14" s="1"/>
  <c r="G55" i="14" l="1"/>
  <c r="C56" i="14"/>
  <c r="E56" i="14" l="1"/>
  <c r="D56" i="14" s="1"/>
  <c r="F56" i="14" s="1"/>
  <c r="G56" i="14" l="1"/>
  <c r="C57" i="14"/>
  <c r="E57" i="14" l="1"/>
  <c r="D57" i="14" s="1"/>
  <c r="F57" i="14" s="1"/>
  <c r="C58" i="14"/>
  <c r="G57" i="14"/>
  <c r="E58" i="14" l="1"/>
  <c r="D58" i="14" s="1"/>
  <c r="F58" i="14" s="1"/>
  <c r="G58" i="14" l="1"/>
  <c r="C59" i="14"/>
  <c r="E59" i="14" l="1"/>
  <c r="D59" i="14" s="1"/>
  <c r="F59" i="14" s="1"/>
  <c r="G59" i="14"/>
  <c r="C60" i="14" l="1"/>
  <c r="E60" i="14" l="1"/>
  <c r="D60" i="14" s="1"/>
  <c r="F60" i="14" s="1"/>
  <c r="C61" i="14"/>
  <c r="E61" i="14" l="1"/>
  <c r="D61" i="14" s="1"/>
  <c r="F61" i="14" s="1"/>
  <c r="G61" i="14"/>
  <c r="C62" i="14"/>
  <c r="G60" i="14"/>
  <c r="E62" i="14" l="1"/>
  <c r="D62" i="14" s="1"/>
  <c r="F62" i="14" s="1"/>
  <c r="G62" i="14"/>
  <c r="C63" i="14" l="1"/>
  <c r="E63" i="14" l="1"/>
  <c r="D63" i="14" s="1"/>
  <c r="F63" i="14" s="1"/>
  <c r="G63" i="14"/>
  <c r="C64" i="14"/>
  <c r="E64" i="14" l="1"/>
  <c r="D64" i="14" s="1"/>
  <c r="F64" i="14" s="1"/>
  <c r="G64" i="14"/>
  <c r="C65" i="14"/>
  <c r="E65" i="14" l="1"/>
  <c r="D65" i="14" s="1"/>
  <c r="F65" i="14" s="1"/>
  <c r="C66" i="14"/>
  <c r="G65" i="14"/>
  <c r="E66" i="14" l="1"/>
  <c r="D66" i="14" s="1"/>
  <c r="F66" i="14" s="1"/>
  <c r="C67" i="14" l="1"/>
  <c r="G66" i="14"/>
  <c r="E67" i="14" l="1"/>
  <c r="D67" i="14" s="1"/>
  <c r="F67" i="14" s="1"/>
  <c r="G67" i="14" l="1"/>
  <c r="C68" i="14"/>
  <c r="E68" i="14" l="1"/>
  <c r="D68" i="14" s="1"/>
  <c r="F68" i="14" s="1"/>
  <c r="G68" i="14" l="1"/>
  <c r="C69" i="14"/>
  <c r="E69" i="14" l="1"/>
  <c r="D69" i="14" s="1"/>
  <c r="F69" i="14" s="1"/>
  <c r="C70" i="14"/>
  <c r="E70" i="14" l="1"/>
  <c r="D70" i="14" s="1"/>
  <c r="F70" i="14" s="1"/>
  <c r="G70" i="14"/>
  <c r="G69" i="14"/>
  <c r="C71" i="14" l="1"/>
  <c r="E71" i="14" l="1"/>
  <c r="D71" i="14" s="1"/>
  <c r="F71" i="14" s="1"/>
  <c r="G71" i="14"/>
  <c r="C72" i="14"/>
  <c r="E72" i="14" l="1"/>
  <c r="D72" i="14" s="1"/>
  <c r="F72" i="14" s="1"/>
  <c r="G72" i="14"/>
  <c r="C73" i="14" l="1"/>
  <c r="E73" i="14" l="1"/>
  <c r="D73" i="14" s="1"/>
  <c r="F73" i="14" s="1"/>
  <c r="G73" i="14"/>
  <c r="C74" i="14"/>
  <c r="E74" i="14" l="1"/>
  <c r="D74" i="14" s="1"/>
  <c r="F74" i="14" s="1"/>
  <c r="C75" i="14" l="1"/>
  <c r="G74" i="14"/>
  <c r="E75" i="14" l="1"/>
  <c r="D75" i="14" s="1"/>
  <c r="F75" i="14" s="1"/>
  <c r="C76" i="14"/>
  <c r="G75" i="14"/>
  <c r="E76" i="14" l="1"/>
  <c r="D76" i="14" s="1"/>
  <c r="F76" i="14" s="1"/>
  <c r="G76" i="14"/>
  <c r="C77" i="14" l="1"/>
  <c r="E77" i="14" l="1"/>
  <c r="D77" i="14" s="1"/>
  <c r="F77" i="14" s="1"/>
  <c r="C78" i="14" l="1"/>
  <c r="G77" i="14"/>
  <c r="E78" i="14" l="1"/>
  <c r="D78" i="14" s="1"/>
  <c r="F78" i="14" s="1"/>
  <c r="G78" i="14"/>
  <c r="C79" i="14" l="1"/>
  <c r="E79" i="14" l="1"/>
  <c r="D79" i="14" s="1"/>
  <c r="F79" i="14" s="1"/>
  <c r="G79" i="14"/>
  <c r="C80" i="14"/>
  <c r="E80" i="14" l="1"/>
  <c r="D80" i="14" s="1"/>
  <c r="F80" i="14" s="1"/>
  <c r="G80" i="14"/>
  <c r="C81" i="14" l="1"/>
  <c r="E81" i="14" l="1"/>
  <c r="D81" i="14" s="1"/>
  <c r="F81" i="14" s="1"/>
  <c r="G81" i="14" l="1"/>
  <c r="C82" i="14"/>
  <c r="E82" i="14" l="1"/>
  <c r="D82" i="14" s="1"/>
  <c r="F82" i="14" s="1"/>
  <c r="C83" i="14" l="1"/>
  <c r="G82" i="14"/>
  <c r="E83" i="14" l="1"/>
  <c r="D83" i="14" s="1"/>
  <c r="F83" i="14" s="1"/>
  <c r="G83" i="14"/>
  <c r="C84" i="14"/>
  <c r="E84" i="14" l="1"/>
  <c r="D84" i="14" s="1"/>
  <c r="F84" i="14" s="1"/>
  <c r="C85" i="14"/>
  <c r="E85" i="14" l="1"/>
  <c r="D85" i="14" s="1"/>
  <c r="F85" i="14" s="1"/>
  <c r="C86" i="14"/>
  <c r="G85" i="14"/>
  <c r="G84" i="14"/>
  <c r="E86" i="14" l="1"/>
  <c r="D86" i="14" s="1"/>
  <c r="F86" i="14" s="1"/>
  <c r="C87" i="14"/>
  <c r="E87" i="14" l="1"/>
  <c r="D87" i="14" s="1"/>
  <c r="F87" i="14" s="1"/>
  <c r="C88" i="14"/>
  <c r="G87" i="14"/>
  <c r="G86" i="14"/>
  <c r="E88" i="14" l="1"/>
  <c r="D88" i="14" s="1"/>
  <c r="F88" i="14" s="1"/>
  <c r="C89" i="14"/>
  <c r="E89" i="14" l="1"/>
  <c r="D89" i="14" s="1"/>
  <c r="F89" i="14" s="1"/>
  <c r="G88" i="14"/>
  <c r="G89" i="14" l="1"/>
  <c r="C90" i="14"/>
  <c r="E90" i="14" l="1"/>
  <c r="D90" i="14" s="1"/>
  <c r="F90" i="14" s="1"/>
  <c r="C91" i="14" l="1"/>
  <c r="G90" i="14"/>
  <c r="E91" i="14" l="1"/>
  <c r="D91" i="14" s="1"/>
  <c r="F91" i="14" s="1"/>
  <c r="C92" i="14"/>
  <c r="G91" i="14"/>
  <c r="E92" i="14" l="1"/>
  <c r="D92" i="14" s="1"/>
  <c r="F92" i="14" s="1"/>
  <c r="G92" i="14"/>
  <c r="C93" i="14" l="1"/>
  <c r="E93" i="14" l="1"/>
  <c r="D93" i="14" s="1"/>
  <c r="F93" i="14" s="1"/>
  <c r="C94" i="14" l="1"/>
  <c r="G93" i="14"/>
  <c r="E94" i="14" l="1"/>
  <c r="D94" i="14" s="1"/>
  <c r="F94" i="14" s="1"/>
  <c r="C95" i="14"/>
  <c r="E95" i="14" l="1"/>
  <c r="D95" i="14" s="1"/>
  <c r="F95" i="14" s="1"/>
  <c r="C96" i="14"/>
  <c r="G95" i="14"/>
  <c r="G94" i="14"/>
  <c r="E96" i="14" l="1"/>
  <c r="D96" i="14" s="1"/>
  <c r="F96" i="14" s="1"/>
  <c r="C97" i="14"/>
  <c r="E97" i="14" l="1"/>
  <c r="G96" i="14"/>
  <c r="D97" i="14" l="1"/>
  <c r="E98" i="14"/>
  <c r="F97" i="14" l="1"/>
  <c r="D98" i="14"/>
  <c r="F98" i="14" s="1"/>
  <c r="G97" i="14"/>
</calcChain>
</file>

<file path=xl/sharedStrings.xml><?xml version="1.0" encoding="utf-8"?>
<sst xmlns="http://schemas.openxmlformats.org/spreadsheetml/2006/main" count="24" uniqueCount="21">
  <si>
    <t>Principle</t>
  </si>
  <si>
    <t>Interest</t>
  </si>
  <si>
    <t>Total</t>
  </si>
  <si>
    <t>Date</t>
  </si>
  <si>
    <t>Description</t>
  </si>
  <si>
    <t>Periode</t>
  </si>
  <si>
    <t>Installment Payment</t>
  </si>
  <si>
    <t xml:space="preserve"> REPAYMENT  SCHEDULE</t>
  </si>
  <si>
    <t>Noreg</t>
  </si>
  <si>
    <t>Nama</t>
  </si>
  <si>
    <t xml:space="preserve"> </t>
  </si>
  <si>
    <t>Division</t>
  </si>
  <si>
    <t>Principal</t>
  </si>
  <si>
    <t>Periode (Years)</t>
  </si>
  <si>
    <t>Installment</t>
  </si>
  <si>
    <t>Out</t>
  </si>
  <si>
    <t>Standing</t>
  </si>
  <si>
    <t>Balanced</t>
  </si>
  <si>
    <t>( Total Bunga selama 7 Tahun )</t>
  </si>
  <si>
    <t>( Total Peminjaman + Bunga 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</si>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</sst>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9" formatCode="_(&quot;Rp&quot;* #,##0.00_);_(&quot;Rp&quot;* \(#,##0.00\);_(&quot;Rp&quot;* &quot;-&quot;??_);_(@_)"/>
    <numFmt numFmtId="183" formatCode="General_)"/>
    <numFmt numFmtId="184" formatCode="0.000"/>
    <numFmt numFmtId="185" formatCode="_-* #,##0.00\ _F_B_-;\-* #,##0.00\ _F_B_-;_-* &quot;-&quot;??\ _F_B_-;_-@_-"/>
    <numFmt numFmtId="186" formatCode="_(&quot;$&quot;* #,##0.0000_);_(&quot;$&quot;* \(#,##0.0000\);_(&quot;$&quot;* &quot;-&quot;??_);_(@_)"/>
    <numFmt numFmtId="187" formatCode="#,##0.00\ &quot;FB&quot;;\-#,##0.00\ &quot;FB&quot;"/>
    <numFmt numFmtId="188" formatCode="0.000000"/>
    <numFmt numFmtId="189" formatCode="0.00000"/>
    <numFmt numFmtId="190" formatCode="0.00_)"/>
    <numFmt numFmtId="191" formatCode="_-* #,##0.00\ &quot;FB&quot;_-;\-* #,##0.00\ &quot;FB&quot;_-;_-* &quot;-&quot;??\ &quot;FB&quot;_-;_-@_-"/>
    <numFmt numFmtId="192" formatCode="#,##0.00\ &quot;FB&quot;;[Red]\-#,##0.00\ &quot;FB&quot;"/>
    <numFmt numFmtId="193" formatCode="_-* #,##0\ &quot;FB&quot;_-;\-* #,##0\ &quot;FB&quot;_-;_-* &quot;-&quot;\ &quot;FB&quot;_-;_-@_-"/>
  </numFmts>
  <fonts count="18" x14ac:knownFonts="1">
    <font>
      <sz val="10"/>
      <name val="Arial"/>
      <charset val="1"/>
    </font>
    <font>
      <sz val="10"/>
      <name val="Arial"/>
      <charset val="1"/>
    </font>
    <font>
      <sz val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</font>
    <font>
      <b/>
      <sz val="10"/>
      <name val="Franklin Gothic Book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42" fontId="4" fillId="0" borderId="0" applyFill="0" applyBorder="0" applyAlignment="0"/>
    <xf numFmtId="183" fontId="5" fillId="0" borderId="0" applyFill="0" applyBorder="0" applyAlignment="0"/>
    <xf numFmtId="184" fontId="5" fillId="0" borderId="0" applyFill="0" applyBorder="0" applyAlignment="0"/>
    <xf numFmtId="185" fontId="6" fillId="0" borderId="0" applyFill="0" applyBorder="0" applyAlignment="0"/>
    <xf numFmtId="186" fontId="6" fillId="0" borderId="0" applyFill="0" applyBorder="0" applyAlignment="0"/>
    <xf numFmtId="42" fontId="4" fillId="0" borderId="0" applyFill="0" applyBorder="0" applyAlignment="0"/>
    <xf numFmtId="187" fontId="6" fillId="0" borderId="0" applyFill="0" applyBorder="0" applyAlignment="0"/>
    <xf numFmtId="183" fontId="5" fillId="0" borderId="0" applyFill="0" applyBorder="0" applyAlignment="0"/>
    <xf numFmtId="41" fontId="1" fillId="0" borderId="0" applyFont="0" applyFill="0" applyBorder="0" applyAlignment="0" applyProtection="0"/>
    <xf numFmtId="42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83" fontId="5" fillId="0" borderId="0" applyFont="0" applyFill="0" applyBorder="0" applyAlignment="0" applyProtection="0"/>
    <xf numFmtId="14" fontId="7" fillId="0" borderId="0" applyFill="0" applyBorder="0" applyAlignment="0"/>
    <xf numFmtId="38" fontId="4" fillId="0" borderId="1">
      <alignment vertical="center"/>
    </xf>
    <xf numFmtId="42" fontId="4" fillId="0" borderId="0" applyFill="0" applyBorder="0" applyAlignment="0"/>
    <xf numFmtId="183" fontId="5" fillId="0" borderId="0" applyFill="0" applyBorder="0" applyAlignment="0"/>
    <xf numFmtId="42" fontId="4" fillId="0" borderId="0" applyFill="0" applyBorder="0" applyAlignment="0"/>
    <xf numFmtId="187" fontId="6" fillId="0" borderId="0" applyFill="0" applyBorder="0" applyAlignment="0"/>
    <xf numFmtId="183" fontId="5" fillId="0" borderId="0" applyFill="0" applyBorder="0" applyAlignment="0"/>
    <xf numFmtId="38" fontId="2" fillId="2" borderId="0" applyNumberFormat="0" applyBorder="0" applyAlignment="0" applyProtection="0"/>
    <xf numFmtId="0" fontId="8" fillId="0" borderId="2" applyNumberFormat="0" applyAlignment="0" applyProtection="0">
      <alignment horizontal="left" vertical="center"/>
    </xf>
    <xf numFmtId="0" fontId="8" fillId="0" borderId="3">
      <alignment horizontal="left" vertical="center"/>
    </xf>
    <xf numFmtId="10" fontId="2" fillId="3" borderId="4" applyNumberFormat="0" applyBorder="0" applyAlignment="0" applyProtection="0"/>
    <xf numFmtId="42" fontId="4" fillId="0" borderId="0" applyFill="0" applyBorder="0" applyAlignment="0"/>
    <xf numFmtId="183" fontId="5" fillId="0" borderId="0" applyFill="0" applyBorder="0" applyAlignment="0"/>
    <xf numFmtId="42" fontId="4" fillId="0" borderId="0" applyFill="0" applyBorder="0" applyAlignment="0"/>
    <xf numFmtId="187" fontId="6" fillId="0" borderId="0" applyFill="0" applyBorder="0" applyAlignment="0"/>
    <xf numFmtId="183" fontId="5" fillId="0" borderId="0" applyFill="0" applyBorder="0" applyAlignment="0"/>
    <xf numFmtId="188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90" fontId="9" fillId="0" borderId="0"/>
    <xf numFmtId="0" fontId="6" fillId="0" borderId="0"/>
    <xf numFmtId="0" fontId="3" fillId="0" borderId="0"/>
    <xf numFmtId="9" fontId="1" fillId="0" borderId="0" applyFont="0" applyFill="0" applyBorder="0" applyAlignment="0" applyProtection="0"/>
    <xf numFmtId="186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42" fontId="4" fillId="0" borderId="0" applyFill="0" applyBorder="0" applyAlignment="0"/>
    <xf numFmtId="183" fontId="5" fillId="0" borderId="0" applyFill="0" applyBorder="0" applyAlignment="0"/>
    <xf numFmtId="42" fontId="4" fillId="0" borderId="0" applyFill="0" applyBorder="0" applyAlignment="0"/>
    <xf numFmtId="187" fontId="6" fillId="0" borderId="0" applyFill="0" applyBorder="0" applyAlignment="0"/>
    <xf numFmtId="183" fontId="5" fillId="0" borderId="0" applyFill="0" applyBorder="0" applyAlignment="0"/>
    <xf numFmtId="49" fontId="7" fillId="0" borderId="0" applyFill="0" applyBorder="0" applyAlignment="0"/>
    <xf numFmtId="192" fontId="6" fillId="0" borderId="0" applyFill="0" applyBorder="0" applyAlignment="0"/>
    <xf numFmtId="193" fontId="6" fillId="0" borderId="0" applyFill="0" applyBorder="0" applyAlignment="0"/>
  </cellStyleXfs>
  <cellXfs count="66">
    <xf numFmtId="0" fontId="0" fillId="0" borderId="0" xfId="0"/>
    <xf numFmtId="0" fontId="6" fillId="0" borderId="0" xfId="34" applyNumberFormat="1"/>
    <xf numFmtId="0" fontId="6" fillId="0" borderId="0" xfId="34" applyNumberFormat="1" applyAlignment="1">
      <alignment vertical="center"/>
    </xf>
    <xf numFmtId="0" fontId="6" fillId="0" borderId="0" xfId="34" applyNumberFormat="1" applyAlignment="1">
      <alignment horizontal="left" vertical="center"/>
    </xf>
    <xf numFmtId="37" fontId="6" fillId="0" borderId="0" xfId="34" applyNumberFormat="1"/>
    <xf numFmtId="0" fontId="6" fillId="0" borderId="0" xfId="34" applyNumberFormat="1" applyBorder="1"/>
    <xf numFmtId="0" fontId="12" fillId="2" borderId="5" xfId="34" applyNumberFormat="1" applyFont="1" applyFill="1" applyBorder="1"/>
    <xf numFmtId="0" fontId="12" fillId="2" borderId="6" xfId="34" applyNumberFormat="1" applyFont="1" applyFill="1" applyBorder="1" applyAlignment="1">
      <alignment horizontal="center"/>
    </xf>
    <xf numFmtId="0" fontId="12" fillId="2" borderId="7" xfId="34" applyNumberFormat="1" applyFont="1" applyFill="1" applyBorder="1" applyAlignment="1">
      <alignment horizontal="center"/>
    </xf>
    <xf numFmtId="0" fontId="12" fillId="2" borderId="8" xfId="34" applyNumberFormat="1" applyFont="1" applyFill="1" applyBorder="1" applyAlignment="1">
      <alignment horizontal="center"/>
    </xf>
    <xf numFmtId="0" fontId="12" fillId="2" borderId="9" xfId="34" applyNumberFormat="1" applyFont="1" applyFill="1" applyBorder="1"/>
    <xf numFmtId="0" fontId="12" fillId="2" borderId="9" xfId="34" applyNumberFormat="1" applyFont="1" applyFill="1" applyBorder="1" applyAlignment="1">
      <alignment horizontal="center"/>
    </xf>
    <xf numFmtId="0" fontId="12" fillId="2" borderId="10" xfId="34" applyNumberFormat="1" applyFont="1" applyFill="1" applyBorder="1" applyAlignment="1">
      <alignment horizontal="center"/>
    </xf>
    <xf numFmtId="17" fontId="13" fillId="0" borderId="4" xfId="11" applyNumberFormat="1" applyFont="1" applyBorder="1" applyAlignment="1">
      <alignment horizontal="center"/>
    </xf>
    <xf numFmtId="37" fontId="13" fillId="0" borderId="4" xfId="34" applyNumberFormat="1" applyFont="1" applyBorder="1"/>
    <xf numFmtId="17" fontId="13" fillId="0" borderId="4" xfId="34" applyNumberFormat="1" applyFont="1" applyBorder="1" applyAlignment="1">
      <alignment horizontal="center"/>
    </xf>
    <xf numFmtId="0" fontId="6" fillId="4" borderId="0" xfId="34" applyNumberFormat="1" applyFill="1"/>
    <xf numFmtId="0" fontId="14" fillId="4" borderId="11" xfId="34" applyNumberFormat="1" applyFont="1" applyFill="1" applyBorder="1" applyAlignment="1">
      <alignment vertical="center"/>
    </xf>
    <xf numFmtId="0" fontId="14" fillId="4" borderId="12" xfId="34" applyNumberFormat="1" applyFont="1" applyFill="1" applyBorder="1" applyAlignment="1">
      <alignment vertical="center"/>
    </xf>
    <xf numFmtId="0" fontId="15" fillId="4" borderId="13" xfId="34" applyNumberFormat="1" applyFont="1" applyFill="1" applyBorder="1" applyAlignment="1">
      <alignment vertical="center"/>
    </xf>
    <xf numFmtId="0" fontId="15" fillId="4" borderId="12" xfId="34" applyNumberFormat="1" applyFont="1" applyFill="1" applyBorder="1" applyAlignment="1">
      <alignment vertical="center"/>
    </xf>
    <xf numFmtId="0" fontId="14" fillId="4" borderId="14" xfId="34" applyNumberFormat="1" applyFont="1" applyFill="1" applyBorder="1" applyAlignment="1">
      <alignment horizontal="left" vertical="center"/>
    </xf>
    <xf numFmtId="0" fontId="14" fillId="4" borderId="15" xfId="34" applyNumberFormat="1" applyFont="1" applyFill="1" applyBorder="1" applyAlignment="1">
      <alignment horizontal="left" vertical="center"/>
    </xf>
    <xf numFmtId="0" fontId="15" fillId="4" borderId="3" xfId="34" applyNumberFormat="1" applyFont="1" applyFill="1" applyBorder="1" applyAlignment="1">
      <alignment horizontal="left" vertical="center"/>
    </xf>
    <xf numFmtId="0" fontId="15" fillId="4" borderId="15" xfId="34" applyNumberFormat="1" applyFont="1" applyFill="1" applyBorder="1" applyAlignment="1">
      <alignment horizontal="left" vertical="center"/>
    </xf>
    <xf numFmtId="0" fontId="14" fillId="4" borderId="11" xfId="34" applyNumberFormat="1" applyFont="1" applyFill="1" applyBorder="1"/>
    <xf numFmtId="0" fontId="14" fillId="4" borderId="12" xfId="34" applyNumberFormat="1" applyFont="1" applyFill="1" applyBorder="1"/>
    <xf numFmtId="0" fontId="14" fillId="4" borderId="13" xfId="34" applyNumberFormat="1" applyFont="1" applyFill="1" applyBorder="1"/>
    <xf numFmtId="0" fontId="15" fillId="4" borderId="13" xfId="34" applyNumberFormat="1" applyFont="1" applyFill="1" applyBorder="1"/>
    <xf numFmtId="41" fontId="15" fillId="4" borderId="13" xfId="9" applyFont="1" applyFill="1" applyBorder="1"/>
    <xf numFmtId="0" fontId="15" fillId="4" borderId="12" xfId="34" applyNumberFormat="1" applyFont="1" applyFill="1" applyBorder="1"/>
    <xf numFmtId="0" fontId="14" fillId="4" borderId="14" xfId="34" applyNumberFormat="1" applyFont="1" applyFill="1" applyBorder="1"/>
    <xf numFmtId="0" fontId="14" fillId="4" borderId="15" xfId="34" applyNumberFormat="1" applyFont="1" applyFill="1" applyBorder="1"/>
    <xf numFmtId="41" fontId="15" fillId="4" borderId="3" xfId="9" applyFont="1" applyFill="1" applyBorder="1"/>
    <xf numFmtId="0" fontId="15" fillId="4" borderId="3" xfId="34" applyNumberFormat="1" applyFont="1" applyFill="1" applyBorder="1"/>
    <xf numFmtId="0" fontId="15" fillId="4" borderId="15" xfId="34" applyNumberFormat="1" applyFont="1" applyFill="1" applyBorder="1"/>
    <xf numFmtId="41" fontId="10" fillId="4" borderId="0" xfId="9" applyFont="1" applyFill="1"/>
    <xf numFmtId="41" fontId="14" fillId="4" borderId="3" xfId="9" applyFont="1" applyFill="1" applyBorder="1" applyAlignment="1">
      <alignment horizontal="center"/>
    </xf>
    <xf numFmtId="9" fontId="16" fillId="4" borderId="14" xfId="36" applyFont="1" applyFill="1" applyBorder="1"/>
    <xf numFmtId="41" fontId="14" fillId="4" borderId="3" xfId="34" applyNumberFormat="1" applyFont="1" applyFill="1" applyBorder="1"/>
    <xf numFmtId="41" fontId="14" fillId="4" borderId="3" xfId="9" applyFont="1" applyFill="1" applyBorder="1"/>
    <xf numFmtId="0" fontId="14" fillId="4" borderId="16" xfId="34" applyNumberFormat="1" applyFont="1" applyFill="1" applyBorder="1"/>
    <xf numFmtId="0" fontId="14" fillId="4" borderId="17" xfId="34" applyNumberFormat="1" applyFont="1" applyFill="1" applyBorder="1"/>
    <xf numFmtId="37" fontId="14" fillId="4" borderId="16" xfId="34" applyNumberFormat="1" applyFont="1" applyFill="1" applyBorder="1"/>
    <xf numFmtId="3" fontId="14" fillId="4" borderId="18" xfId="34" applyNumberFormat="1" applyFont="1" applyFill="1" applyBorder="1"/>
    <xf numFmtId="0" fontId="15" fillId="4" borderId="18" xfId="34" applyNumberFormat="1" applyFont="1" applyFill="1" applyBorder="1"/>
    <xf numFmtId="0" fontId="15" fillId="4" borderId="17" xfId="34" applyNumberFormat="1" applyFont="1" applyFill="1" applyBorder="1"/>
    <xf numFmtId="0" fontId="12" fillId="4" borderId="19" xfId="34" applyNumberFormat="1" applyFont="1" applyFill="1" applyBorder="1"/>
    <xf numFmtId="0" fontId="12" fillId="4" borderId="20" xfId="34" applyNumberFormat="1" applyFont="1" applyFill="1" applyBorder="1" applyAlignment="1">
      <alignment horizontal="center"/>
    </xf>
    <xf numFmtId="0" fontId="12" fillId="4" borderId="9" xfId="34" applyNumberFormat="1" applyFont="1" applyFill="1" applyBorder="1"/>
    <xf numFmtId="0" fontId="13" fillId="4" borderId="4" xfId="34" applyNumberFormat="1" applyFont="1" applyFill="1" applyBorder="1" applyAlignment="1">
      <alignment horizontal="center"/>
    </xf>
    <xf numFmtId="41" fontId="6" fillId="0" borderId="0" xfId="9" applyFont="1"/>
    <xf numFmtId="37" fontId="12" fillId="0" borderId="4" xfId="34" applyNumberFormat="1" applyFont="1" applyBorder="1"/>
    <xf numFmtId="41" fontId="12" fillId="0" borderId="4" xfId="9" applyFont="1" applyBorder="1"/>
    <xf numFmtId="0" fontId="17" fillId="0" borderId="0" xfId="34" applyNumberFormat="1" applyFont="1" applyAlignment="1">
      <alignment horizontal="center"/>
    </xf>
    <xf numFmtId="0" fontId="16" fillId="4" borderId="11" xfId="35" quotePrefix="1" applyFont="1" applyFill="1" applyBorder="1" applyAlignment="1">
      <alignment horizontal="left" vertical="center" wrapText="1"/>
    </xf>
    <xf numFmtId="0" fontId="16" fillId="4" borderId="13" xfId="35" applyFont="1" applyFill="1" applyBorder="1" applyAlignment="1">
      <alignment horizontal="left" vertical="center" wrapText="1"/>
    </xf>
    <xf numFmtId="0" fontId="16" fillId="4" borderId="14" xfId="35" applyFont="1" applyFill="1" applyBorder="1" applyAlignment="1">
      <alignment horizontal="left" vertical="center" wrapText="1"/>
    </xf>
    <xf numFmtId="0" fontId="16" fillId="4" borderId="3" xfId="35" applyFont="1" applyFill="1" applyBorder="1" applyAlignment="1">
      <alignment horizontal="left" vertical="center" wrapText="1"/>
    </xf>
    <xf numFmtId="0" fontId="12" fillId="2" borderId="21" xfId="34" applyNumberFormat="1" applyFont="1" applyFill="1" applyBorder="1" applyAlignment="1">
      <alignment horizontal="center" vertical="center"/>
    </xf>
    <xf numFmtId="0" fontId="12" fillId="2" borderId="22" xfId="34" applyNumberFormat="1" applyFont="1" applyFill="1" applyBorder="1" applyAlignment="1">
      <alignment horizontal="center" vertical="center"/>
    </xf>
    <xf numFmtId="0" fontId="12" fillId="2" borderId="23" xfId="34" applyNumberFormat="1" applyFont="1" applyFill="1" applyBorder="1" applyAlignment="1">
      <alignment horizontal="center" vertical="center"/>
    </xf>
    <xf numFmtId="0" fontId="12" fillId="2" borderId="24" xfId="34" applyNumberFormat="1" applyFont="1" applyFill="1" applyBorder="1" applyAlignment="1">
      <alignment horizontal="center" vertical="center"/>
    </xf>
    <xf numFmtId="0" fontId="12" fillId="2" borderId="25" xfId="34" applyNumberFormat="1" applyFont="1" applyFill="1" applyBorder="1" applyAlignment="1">
      <alignment horizontal="center" vertical="center"/>
    </xf>
    <xf numFmtId="0" fontId="12" fillId="2" borderId="26" xfId="34" applyNumberFormat="1" applyFont="1" applyFill="1" applyBorder="1" applyAlignment="1">
      <alignment horizontal="center" vertical="center"/>
    </xf>
    <xf numFmtId="0" fontId="11" fillId="4" borderId="4" xfId="34" applyNumberFormat="1" applyFont="1" applyFill="1" applyBorder="1" applyAlignment="1">
      <alignment horizontal="center"/>
    </xf>
  </cellXfs>
  <cellStyles count="48">
    <cellStyle name="Calc Currency (0)" xfId="1"/>
    <cellStyle name="Calc Currency (2)" xfId="2"/>
    <cellStyle name="Calc Percent (0)" xfId="3"/>
    <cellStyle name="Calc Percent (1)" xfId="4"/>
    <cellStyle name="Calc Percent (2)" xfId="5"/>
    <cellStyle name="Calc Units (0)" xfId="6"/>
    <cellStyle name="Calc Units (1)" xfId="7"/>
    <cellStyle name="Calc Units (2)" xfId="8"/>
    <cellStyle name="Comma [0]" xfId="9" builtinId="6"/>
    <cellStyle name="Comma [00]" xfId="10"/>
    <cellStyle name="Currency" xfId="11" builtinId="4"/>
    <cellStyle name="Currency [00]" xfId="12"/>
    <cellStyle name="Date Short" xfId="13"/>
    <cellStyle name="DELTA" xfId="14"/>
    <cellStyle name="Enter Currency (0)" xfId="15"/>
    <cellStyle name="Enter Currency (2)" xfId="16"/>
    <cellStyle name="Enter Units (0)" xfId="17"/>
    <cellStyle name="Enter Units (1)" xfId="18"/>
    <cellStyle name="Enter Units (2)" xfId="19"/>
    <cellStyle name="Grey" xfId="20"/>
    <cellStyle name="Header1" xfId="21"/>
    <cellStyle name="Header2" xfId="22"/>
    <cellStyle name="Input [yellow]" xfId="23"/>
    <cellStyle name="Link Currency (0)" xfId="24"/>
    <cellStyle name="Link Currency (2)" xfId="25"/>
    <cellStyle name="Link Units (0)" xfId="26"/>
    <cellStyle name="Link Units (1)" xfId="27"/>
    <cellStyle name="Link Units (2)" xfId="28"/>
    <cellStyle name="Milliers [0]_Feuil1" xfId="29"/>
    <cellStyle name="Milliers_Feuil1" xfId="30"/>
    <cellStyle name="Monétaire [0]_Feuil1" xfId="31"/>
    <cellStyle name="Monétaire_Feuil1" xfId="32"/>
    <cellStyle name="Normal" xfId="0" builtinId="0"/>
    <cellStyle name="Normal - Style1" xfId="33"/>
    <cellStyle name="Normal_Repayment Schedule_1010" xfId="34"/>
    <cellStyle name="Normal_Sheet3" xfId="35"/>
    <cellStyle name="Percent" xfId="36" builtinId="5"/>
    <cellStyle name="Percent [0]" xfId="37"/>
    <cellStyle name="Percent [00]" xfId="38"/>
    <cellStyle name="Percent [2]" xfId="39"/>
    <cellStyle name="PrePop Currency (0)" xfId="40"/>
    <cellStyle name="PrePop Currency (2)" xfId="41"/>
    <cellStyle name="PrePop Units (0)" xfId="42"/>
    <cellStyle name="PrePop Units (1)" xfId="43"/>
    <cellStyle name="PrePop Units (2)" xfId="44"/>
    <cellStyle name="Text Indent A" xfId="45"/>
    <cellStyle name="Text Indent B" xfId="46"/>
    <cellStyle name="Text Indent C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82"/>
  <sheetViews>
    <sheetView tabSelected="1" topLeftCell="A46" zoomScaleNormal="100" zoomScaleSheetLayoutView="75" workbookViewId="0">
      <selection activeCell="C10" sqref="C10"/>
    </sheetView>
  </sheetViews>
  <sheetFormatPr defaultColWidth="14.7109375" defaultRowHeight="12.75" x14ac:dyDescent="0.2"/>
  <cols>
    <col min="1" max="1" width="10.85546875" style="16" customWidth="1"/>
    <col min="2" max="2" width="10" style="1" bestFit="1" customWidth="1"/>
    <col min="3" max="3" width="15.140625" style="1" bestFit="1" customWidth="1"/>
    <col min="4" max="4" width="17.140625" style="1" customWidth="1"/>
    <col min="5" max="5" width="13.28515625" style="1" bestFit="1" customWidth="1"/>
    <col min="6" max="6" width="14.42578125" style="1" customWidth="1"/>
    <col min="7" max="7" width="14.42578125" style="1" bestFit="1" customWidth="1"/>
    <col min="8" max="8" width="14.7109375" style="1" customWidth="1"/>
    <col min="9" max="10" width="23.7109375" style="1" customWidth="1"/>
    <col min="11" max="12" width="15" style="1" customWidth="1"/>
    <col min="13" max="16384" width="14.7109375" style="1"/>
  </cols>
  <sheetData>
    <row r="2" spans="1:12" ht="21" customHeight="1" thickBot="1" x14ac:dyDescent="0.4">
      <c r="A2" s="54" t="s">
        <v>7</v>
      </c>
      <c r="B2" s="54"/>
      <c r="C2" s="54"/>
      <c r="D2" s="54"/>
      <c r="E2" s="54"/>
      <c r="F2" s="54"/>
      <c r="G2" s="54"/>
    </row>
    <row r="3" spans="1:12" s="2" customFormat="1" ht="14.25" customHeight="1" x14ac:dyDescent="0.2">
      <c r="A3" s="17" t="s">
        <v>8</v>
      </c>
      <c r="B3" s="18"/>
      <c r="C3" s="55"/>
      <c r="D3" s="56"/>
      <c r="E3" s="19"/>
      <c r="F3" s="19"/>
      <c r="G3" s="20"/>
    </row>
    <row r="4" spans="1:12" s="3" customFormat="1" ht="14.25" customHeight="1" thickBot="1" x14ac:dyDescent="0.25">
      <c r="A4" s="21" t="s">
        <v>9</v>
      </c>
      <c r="B4" s="22"/>
      <c r="C4" s="57"/>
      <c r="D4" s="58"/>
      <c r="E4" s="23"/>
      <c r="F4" s="23"/>
      <c r="G4" s="24" t="s">
        <v>10</v>
      </c>
    </row>
    <row r="5" spans="1:12" ht="14.25" customHeight="1" x14ac:dyDescent="0.2">
      <c r="A5" s="25" t="s">
        <v>4</v>
      </c>
      <c r="B5" s="26"/>
      <c r="C5" s="25"/>
      <c r="D5" s="27"/>
      <c r="E5" s="28"/>
      <c r="F5" s="29"/>
      <c r="G5" s="30"/>
    </row>
    <row r="6" spans="1:12" ht="14.25" customHeight="1" x14ac:dyDescent="0.2">
      <c r="A6" s="31" t="s">
        <v>11</v>
      </c>
      <c r="B6" s="32"/>
      <c r="C6" s="57"/>
      <c r="D6" s="58"/>
      <c r="E6" s="33"/>
      <c r="F6" s="34"/>
      <c r="G6" s="35"/>
    </row>
    <row r="7" spans="1:12" ht="14.25" customHeight="1" x14ac:dyDescent="0.25">
      <c r="A7" s="31" t="s">
        <v>12</v>
      </c>
      <c r="B7" s="32"/>
      <c r="C7" s="36">
        <f>50000000</f>
        <v>50000000</v>
      </c>
      <c r="D7" s="37"/>
      <c r="E7" s="33"/>
      <c r="F7" s="34"/>
      <c r="G7" s="35"/>
    </row>
    <row r="8" spans="1:12" ht="14.25" customHeight="1" x14ac:dyDescent="0.2">
      <c r="A8" s="31" t="s">
        <v>1</v>
      </c>
      <c r="B8" s="32"/>
      <c r="C8" s="38">
        <v>0.05</v>
      </c>
      <c r="D8" s="39">
        <f>D9-C7</f>
        <v>9362418.1020094454</v>
      </c>
      <c r="E8" s="40" t="s">
        <v>18</v>
      </c>
      <c r="F8" s="34"/>
      <c r="G8" s="35"/>
    </row>
    <row r="9" spans="1:12" ht="14.25" customHeight="1" x14ac:dyDescent="0.2">
      <c r="A9" s="31" t="s">
        <v>13</v>
      </c>
      <c r="B9" s="32"/>
      <c r="C9" s="31">
        <v>7</v>
      </c>
      <c r="D9" s="40">
        <f>C10*84</f>
        <v>59362418.102009445</v>
      </c>
      <c r="E9" s="40" t="s">
        <v>19</v>
      </c>
      <c r="F9" s="33"/>
      <c r="G9" s="35"/>
    </row>
    <row r="10" spans="1:12" ht="14.25" customHeight="1" thickBot="1" x14ac:dyDescent="0.25">
      <c r="A10" s="41" t="s">
        <v>14</v>
      </c>
      <c r="B10" s="42"/>
      <c r="C10" s="43">
        <f>PMT(C8/12,C9*12,-(C7))</f>
        <v>706695.4535953505</v>
      </c>
      <c r="D10" s="44"/>
      <c r="E10" s="45"/>
      <c r="F10" s="45"/>
      <c r="G10" s="46"/>
    </row>
    <row r="11" spans="1:12" ht="15.75" x14ac:dyDescent="0.25">
      <c r="A11" s="47"/>
      <c r="B11" s="6"/>
      <c r="C11" s="6"/>
      <c r="D11" s="59" t="s">
        <v>6</v>
      </c>
      <c r="E11" s="60"/>
      <c r="F11" s="61"/>
      <c r="G11" s="7" t="s">
        <v>15</v>
      </c>
    </row>
    <row r="12" spans="1:12" ht="16.5" thickBot="1" x14ac:dyDescent="0.3">
      <c r="A12" s="48" t="s">
        <v>5</v>
      </c>
      <c r="B12" s="8" t="s">
        <v>3</v>
      </c>
      <c r="C12" s="8" t="s">
        <v>0</v>
      </c>
      <c r="D12" s="62"/>
      <c r="E12" s="63"/>
      <c r="F12" s="64"/>
      <c r="G12" s="9" t="s">
        <v>16</v>
      </c>
    </row>
    <row r="13" spans="1:12" ht="20.25" customHeight="1" x14ac:dyDescent="0.25">
      <c r="A13" s="49"/>
      <c r="B13" s="10"/>
      <c r="C13" s="10" t="s">
        <v>10</v>
      </c>
      <c r="D13" s="11" t="s">
        <v>0</v>
      </c>
      <c r="E13" s="11" t="s">
        <v>1</v>
      </c>
      <c r="F13" s="12" t="s">
        <v>2</v>
      </c>
      <c r="G13" s="12" t="s">
        <v>17</v>
      </c>
    </row>
    <row r="14" spans="1:12" ht="15" customHeight="1" x14ac:dyDescent="0.25">
      <c r="A14" s="50">
        <v>1</v>
      </c>
      <c r="B14" s="13">
        <f>DATE(2018,11,1)</f>
        <v>43405</v>
      </c>
      <c r="C14" s="14">
        <f>C7</f>
        <v>50000000</v>
      </c>
      <c r="D14" s="14">
        <f t="shared" ref="D14:D77" si="0">$C$10-E14</f>
        <v>498362.12026201712</v>
      </c>
      <c r="E14" s="14">
        <f t="shared" ref="E14:E77" si="1">C14*$C$8/12</f>
        <v>208333.33333333334</v>
      </c>
      <c r="F14" s="14">
        <f t="shared" ref="F14:F77" si="2">D14+E14</f>
        <v>706695.4535953505</v>
      </c>
      <c r="G14" s="14">
        <f t="shared" ref="G14:G77" si="3">C14-D14</f>
        <v>49501637.879737981</v>
      </c>
      <c r="I14" s="4"/>
      <c r="J14" s="4"/>
      <c r="K14" s="4"/>
      <c r="L14" s="4"/>
    </row>
    <row r="15" spans="1:12" ht="15" customHeight="1" x14ac:dyDescent="0.25">
      <c r="A15" s="50">
        <f t="shared" ref="A15:A78" si="4">A14+1</f>
        <v>2</v>
      </c>
      <c r="B15" s="15">
        <f t="shared" ref="B15:B64" si="5">B14+31</f>
        <v>43436</v>
      </c>
      <c r="C15" s="14">
        <f t="shared" ref="C15:C78" si="6">C14-D14</f>
        <v>49501637.879737981</v>
      </c>
      <c r="D15" s="14">
        <f t="shared" si="0"/>
        <v>500438.62909644225</v>
      </c>
      <c r="E15" s="14">
        <f t="shared" si="1"/>
        <v>206256.82449890825</v>
      </c>
      <c r="F15" s="14">
        <f t="shared" si="2"/>
        <v>706695.4535953505</v>
      </c>
      <c r="G15" s="14">
        <f t="shared" si="3"/>
        <v>49001199.25064154</v>
      </c>
      <c r="I15" s="4"/>
      <c r="J15" s="4"/>
      <c r="K15" s="4"/>
      <c r="L15" s="4"/>
    </row>
    <row r="16" spans="1:12" ht="15" customHeight="1" x14ac:dyDescent="0.25">
      <c r="A16" s="50">
        <f t="shared" si="4"/>
        <v>3</v>
      </c>
      <c r="B16" s="15">
        <f t="shared" si="5"/>
        <v>43467</v>
      </c>
      <c r="C16" s="14">
        <f t="shared" si="6"/>
        <v>49001199.25064154</v>
      </c>
      <c r="D16" s="14">
        <f t="shared" si="0"/>
        <v>502523.79005101079</v>
      </c>
      <c r="E16" s="14">
        <f t="shared" si="1"/>
        <v>204171.66354433974</v>
      </c>
      <c r="F16" s="14">
        <f t="shared" si="2"/>
        <v>706695.4535953505</v>
      </c>
      <c r="G16" s="14">
        <f t="shared" si="3"/>
        <v>48498675.460590526</v>
      </c>
      <c r="I16" s="4"/>
      <c r="J16" s="4"/>
      <c r="K16" s="4"/>
      <c r="L16" s="4"/>
    </row>
    <row r="17" spans="1:12" ht="15" customHeight="1" x14ac:dyDescent="0.25">
      <c r="A17" s="50">
        <f t="shared" si="4"/>
        <v>4</v>
      </c>
      <c r="B17" s="15">
        <f t="shared" si="5"/>
        <v>43498</v>
      </c>
      <c r="C17" s="14">
        <f t="shared" si="6"/>
        <v>48498675.460590526</v>
      </c>
      <c r="D17" s="14">
        <f t="shared" si="0"/>
        <v>504617.63917622331</v>
      </c>
      <c r="E17" s="14">
        <f t="shared" si="1"/>
        <v>202077.81441912719</v>
      </c>
      <c r="F17" s="14">
        <f t="shared" si="2"/>
        <v>706695.4535953505</v>
      </c>
      <c r="G17" s="14">
        <f t="shared" si="3"/>
        <v>47994057.821414307</v>
      </c>
      <c r="I17" s="4"/>
      <c r="J17" s="4"/>
      <c r="K17" s="4"/>
      <c r="L17" s="4"/>
    </row>
    <row r="18" spans="1:12" ht="15" customHeight="1" x14ac:dyDescent="0.25">
      <c r="A18" s="50">
        <f t="shared" si="4"/>
        <v>5</v>
      </c>
      <c r="B18" s="15">
        <f t="shared" si="5"/>
        <v>43529</v>
      </c>
      <c r="C18" s="14">
        <f t="shared" si="6"/>
        <v>47994057.821414307</v>
      </c>
      <c r="D18" s="14">
        <f t="shared" si="0"/>
        <v>506720.21267279086</v>
      </c>
      <c r="E18" s="14">
        <f t="shared" si="1"/>
        <v>199975.24092255963</v>
      </c>
      <c r="F18" s="14">
        <f t="shared" si="2"/>
        <v>706695.4535953505</v>
      </c>
      <c r="G18" s="14">
        <f t="shared" si="3"/>
        <v>47487337.608741514</v>
      </c>
      <c r="I18" s="51"/>
      <c r="J18" s="4"/>
      <c r="K18" s="4"/>
      <c r="L18" s="4"/>
    </row>
    <row r="19" spans="1:12" ht="15" customHeight="1" x14ac:dyDescent="0.25">
      <c r="A19" s="50">
        <f t="shared" si="4"/>
        <v>6</v>
      </c>
      <c r="B19" s="15">
        <f t="shared" si="5"/>
        <v>43560</v>
      </c>
      <c r="C19" s="14">
        <f t="shared" si="6"/>
        <v>47487337.608741514</v>
      </c>
      <c r="D19" s="14">
        <f t="shared" si="0"/>
        <v>508831.5468922609</v>
      </c>
      <c r="E19" s="14">
        <f t="shared" si="1"/>
        <v>197863.90670308963</v>
      </c>
      <c r="F19" s="14">
        <f t="shared" si="2"/>
        <v>706695.4535953505</v>
      </c>
      <c r="G19" s="14">
        <f t="shared" si="3"/>
        <v>46978506.061849251</v>
      </c>
      <c r="I19" s="4"/>
      <c r="J19" s="4"/>
      <c r="K19" s="4"/>
      <c r="L19" s="4"/>
    </row>
    <row r="20" spans="1:12" ht="15" customHeight="1" x14ac:dyDescent="0.25">
      <c r="A20" s="50">
        <f t="shared" si="4"/>
        <v>7</v>
      </c>
      <c r="B20" s="15">
        <f t="shared" si="5"/>
        <v>43591</v>
      </c>
      <c r="C20" s="14">
        <f t="shared" si="6"/>
        <v>46978506.061849251</v>
      </c>
      <c r="D20" s="14">
        <f t="shared" si="0"/>
        <v>510951.67833764525</v>
      </c>
      <c r="E20" s="14">
        <f t="shared" si="1"/>
        <v>195743.77525770522</v>
      </c>
      <c r="F20" s="14">
        <f t="shared" si="2"/>
        <v>706695.4535953505</v>
      </c>
      <c r="G20" s="14">
        <f t="shared" si="3"/>
        <v>46467554.383511603</v>
      </c>
      <c r="I20" s="4"/>
      <c r="J20" s="4"/>
      <c r="K20" s="4"/>
      <c r="L20" s="4"/>
    </row>
    <row r="21" spans="1:12" ht="15" customHeight="1" x14ac:dyDescent="0.25">
      <c r="A21" s="50">
        <f t="shared" si="4"/>
        <v>8</v>
      </c>
      <c r="B21" s="15">
        <f t="shared" si="5"/>
        <v>43622</v>
      </c>
      <c r="C21" s="14">
        <f t="shared" si="6"/>
        <v>46467554.383511603</v>
      </c>
      <c r="D21" s="14">
        <f t="shared" si="0"/>
        <v>513080.64366405213</v>
      </c>
      <c r="E21" s="14">
        <f t="shared" si="1"/>
        <v>193614.80993129837</v>
      </c>
      <c r="F21" s="14">
        <f t="shared" si="2"/>
        <v>706695.4535953505</v>
      </c>
      <c r="G21" s="14">
        <f t="shared" si="3"/>
        <v>45954473.739847548</v>
      </c>
      <c r="I21" s="4"/>
      <c r="J21" s="4"/>
      <c r="K21" s="4"/>
      <c r="L21" s="4"/>
    </row>
    <row r="22" spans="1:12" ht="15" customHeight="1" x14ac:dyDescent="0.25">
      <c r="A22" s="50">
        <f t="shared" si="4"/>
        <v>9</v>
      </c>
      <c r="B22" s="15">
        <f t="shared" si="5"/>
        <v>43653</v>
      </c>
      <c r="C22" s="14">
        <f t="shared" si="6"/>
        <v>45954473.739847548</v>
      </c>
      <c r="D22" s="14">
        <f t="shared" si="0"/>
        <v>515218.47967931908</v>
      </c>
      <c r="E22" s="14">
        <f t="shared" si="1"/>
        <v>191476.97391603145</v>
      </c>
      <c r="F22" s="14">
        <f t="shared" si="2"/>
        <v>706695.4535953505</v>
      </c>
      <c r="G22" s="14">
        <f t="shared" si="3"/>
        <v>45439255.260168232</v>
      </c>
      <c r="J22" s="4"/>
      <c r="K22" s="4"/>
      <c r="L22" s="4"/>
    </row>
    <row r="23" spans="1:12" ht="15" customHeight="1" x14ac:dyDescent="0.25">
      <c r="A23" s="50">
        <f t="shared" si="4"/>
        <v>10</v>
      </c>
      <c r="B23" s="15">
        <f t="shared" si="5"/>
        <v>43684</v>
      </c>
      <c r="C23" s="14">
        <f t="shared" si="6"/>
        <v>45439255.260168232</v>
      </c>
      <c r="D23" s="14">
        <f t="shared" si="0"/>
        <v>517365.22334464954</v>
      </c>
      <c r="E23" s="14">
        <f t="shared" si="1"/>
        <v>189330.23025070096</v>
      </c>
      <c r="F23" s="14">
        <f t="shared" si="2"/>
        <v>706695.4535953505</v>
      </c>
      <c r="G23" s="14">
        <f t="shared" si="3"/>
        <v>44921890.036823586</v>
      </c>
      <c r="I23" s="4"/>
      <c r="J23" s="4"/>
      <c r="K23" s="4"/>
      <c r="L23" s="4"/>
    </row>
    <row r="24" spans="1:12" ht="15" customHeight="1" x14ac:dyDescent="0.25">
      <c r="A24" s="50">
        <f t="shared" si="4"/>
        <v>11</v>
      </c>
      <c r="B24" s="15">
        <f t="shared" si="5"/>
        <v>43715</v>
      </c>
      <c r="C24" s="14">
        <f t="shared" si="6"/>
        <v>44921890.036823586</v>
      </c>
      <c r="D24" s="14">
        <f t="shared" si="0"/>
        <v>519520.9117752522</v>
      </c>
      <c r="E24" s="14">
        <f t="shared" si="1"/>
        <v>187174.5418200983</v>
      </c>
      <c r="F24" s="14">
        <f t="shared" si="2"/>
        <v>706695.4535953505</v>
      </c>
      <c r="G24" s="14">
        <f t="shared" si="3"/>
        <v>44402369.125048332</v>
      </c>
      <c r="I24" s="4"/>
      <c r="J24" s="4"/>
      <c r="K24" s="4"/>
      <c r="L24" s="4"/>
    </row>
    <row r="25" spans="1:12" ht="15" customHeight="1" x14ac:dyDescent="0.25">
      <c r="A25" s="50">
        <f t="shared" si="4"/>
        <v>12</v>
      </c>
      <c r="B25" s="15">
        <f t="shared" si="5"/>
        <v>43746</v>
      </c>
      <c r="C25" s="14">
        <f t="shared" si="6"/>
        <v>44402369.125048332</v>
      </c>
      <c r="D25" s="14">
        <f t="shared" si="0"/>
        <v>521685.58224098245</v>
      </c>
      <c r="E25" s="14">
        <f t="shared" si="1"/>
        <v>185009.87135436805</v>
      </c>
      <c r="F25" s="14">
        <f t="shared" si="2"/>
        <v>706695.4535953505</v>
      </c>
      <c r="G25" s="14">
        <f t="shared" si="3"/>
        <v>43880683.542807348</v>
      </c>
      <c r="I25" s="4"/>
      <c r="J25" s="4"/>
      <c r="K25" s="4"/>
      <c r="L25" s="4"/>
    </row>
    <row r="26" spans="1:12" ht="15" customHeight="1" x14ac:dyDescent="0.25">
      <c r="A26" s="50">
        <f t="shared" si="4"/>
        <v>13</v>
      </c>
      <c r="B26" s="15">
        <f t="shared" si="5"/>
        <v>43777</v>
      </c>
      <c r="C26" s="14">
        <f t="shared" si="6"/>
        <v>43880683.542807348</v>
      </c>
      <c r="D26" s="14">
        <f t="shared" si="0"/>
        <v>523859.27216698648</v>
      </c>
      <c r="E26" s="14">
        <f t="shared" si="1"/>
        <v>182836.18142836398</v>
      </c>
      <c r="F26" s="14">
        <f t="shared" si="2"/>
        <v>706695.4535953505</v>
      </c>
      <c r="G26" s="14">
        <f t="shared" si="3"/>
        <v>43356824.270640358</v>
      </c>
      <c r="I26" s="4"/>
      <c r="J26" s="4"/>
      <c r="K26" s="4"/>
      <c r="L26" s="4"/>
    </row>
    <row r="27" spans="1:12" ht="15" customHeight="1" x14ac:dyDescent="0.25">
      <c r="A27" s="50">
        <f t="shared" si="4"/>
        <v>14</v>
      </c>
      <c r="B27" s="15">
        <f t="shared" si="5"/>
        <v>43808</v>
      </c>
      <c r="C27" s="14">
        <f t="shared" si="6"/>
        <v>43356824.270640358</v>
      </c>
      <c r="D27" s="14">
        <f t="shared" si="0"/>
        <v>526042.01913434896</v>
      </c>
      <c r="E27" s="14">
        <f t="shared" si="1"/>
        <v>180653.43446100151</v>
      </c>
      <c r="F27" s="14">
        <f t="shared" si="2"/>
        <v>706695.4535953505</v>
      </c>
      <c r="G27" s="14">
        <f t="shared" si="3"/>
        <v>42830782.251506008</v>
      </c>
      <c r="I27" s="4"/>
      <c r="J27" s="4"/>
      <c r="K27" s="4"/>
      <c r="L27" s="4"/>
    </row>
    <row r="28" spans="1:12" ht="15" customHeight="1" x14ac:dyDescent="0.25">
      <c r="A28" s="50">
        <f t="shared" si="4"/>
        <v>15</v>
      </c>
      <c r="B28" s="15">
        <f t="shared" si="5"/>
        <v>43839</v>
      </c>
      <c r="C28" s="14">
        <f t="shared" si="6"/>
        <v>42830782.251506008</v>
      </c>
      <c r="D28" s="14">
        <f t="shared" si="0"/>
        <v>528233.86088074208</v>
      </c>
      <c r="E28" s="14">
        <f t="shared" si="1"/>
        <v>178461.59271460838</v>
      </c>
      <c r="F28" s="14">
        <f t="shared" si="2"/>
        <v>706695.4535953505</v>
      </c>
      <c r="G28" s="14">
        <f t="shared" si="3"/>
        <v>42302548.390625268</v>
      </c>
      <c r="I28" s="4"/>
      <c r="J28" s="4"/>
      <c r="K28" s="4"/>
      <c r="L28" s="4"/>
    </row>
    <row r="29" spans="1:12" ht="15" customHeight="1" x14ac:dyDescent="0.25">
      <c r="A29" s="50">
        <f t="shared" si="4"/>
        <v>16</v>
      </c>
      <c r="B29" s="15">
        <f t="shared" si="5"/>
        <v>43870</v>
      </c>
      <c r="C29" s="14">
        <f t="shared" si="6"/>
        <v>42302548.390625268</v>
      </c>
      <c r="D29" s="14">
        <f t="shared" si="0"/>
        <v>530434.83530107851</v>
      </c>
      <c r="E29" s="14">
        <f t="shared" si="1"/>
        <v>176260.61829427196</v>
      </c>
      <c r="F29" s="14">
        <f t="shared" si="2"/>
        <v>706695.4535953505</v>
      </c>
      <c r="G29" s="14">
        <f t="shared" si="3"/>
        <v>41772113.555324189</v>
      </c>
      <c r="I29" s="4"/>
      <c r="J29" s="4"/>
      <c r="K29" s="4"/>
      <c r="L29" s="4"/>
    </row>
    <row r="30" spans="1:12" ht="15" customHeight="1" x14ac:dyDescent="0.25">
      <c r="A30" s="50">
        <f t="shared" si="4"/>
        <v>17</v>
      </c>
      <c r="B30" s="15">
        <f t="shared" si="5"/>
        <v>43901</v>
      </c>
      <c r="C30" s="14">
        <f t="shared" si="6"/>
        <v>41772113.555324189</v>
      </c>
      <c r="D30" s="14">
        <f t="shared" si="0"/>
        <v>532644.98044816637</v>
      </c>
      <c r="E30" s="14">
        <f t="shared" si="1"/>
        <v>174050.47314718412</v>
      </c>
      <c r="F30" s="14">
        <f t="shared" si="2"/>
        <v>706695.4535953505</v>
      </c>
      <c r="G30" s="14">
        <f t="shared" si="3"/>
        <v>41239468.574876025</v>
      </c>
      <c r="I30" s="4"/>
      <c r="J30" s="4"/>
      <c r="K30" s="4"/>
      <c r="L30" s="4"/>
    </row>
    <row r="31" spans="1:12" ht="15" customHeight="1" x14ac:dyDescent="0.25">
      <c r="A31" s="50">
        <f t="shared" si="4"/>
        <v>18</v>
      </c>
      <c r="B31" s="15">
        <f t="shared" si="5"/>
        <v>43932</v>
      </c>
      <c r="C31" s="14">
        <f t="shared" si="6"/>
        <v>41239468.574876025</v>
      </c>
      <c r="D31" s="14">
        <f t="shared" si="0"/>
        <v>534864.33453336707</v>
      </c>
      <c r="E31" s="14">
        <f t="shared" si="1"/>
        <v>171831.11906198345</v>
      </c>
      <c r="F31" s="14">
        <f t="shared" si="2"/>
        <v>706695.4535953505</v>
      </c>
      <c r="G31" s="14">
        <f t="shared" si="3"/>
        <v>40704604.240342662</v>
      </c>
      <c r="I31" s="4"/>
      <c r="J31" s="4"/>
      <c r="K31" s="4"/>
      <c r="L31" s="4"/>
    </row>
    <row r="32" spans="1:12" ht="15" customHeight="1" x14ac:dyDescent="0.25">
      <c r="A32" s="50">
        <f t="shared" si="4"/>
        <v>19</v>
      </c>
      <c r="B32" s="15">
        <f t="shared" si="5"/>
        <v>43963</v>
      </c>
      <c r="C32" s="14">
        <f t="shared" si="6"/>
        <v>40704604.240342662</v>
      </c>
      <c r="D32" s="14">
        <f t="shared" si="0"/>
        <v>537092.93592725601</v>
      </c>
      <c r="E32" s="14">
        <f t="shared" si="1"/>
        <v>169602.51766809443</v>
      </c>
      <c r="F32" s="14">
        <f t="shared" si="2"/>
        <v>706695.4535953505</v>
      </c>
      <c r="G32" s="14">
        <f t="shared" si="3"/>
        <v>40167511.304415405</v>
      </c>
      <c r="I32" s="4"/>
      <c r="J32" s="4"/>
      <c r="K32" s="4"/>
      <c r="L32" s="4"/>
    </row>
    <row r="33" spans="1:12" ht="15" customHeight="1" x14ac:dyDescent="0.25">
      <c r="A33" s="50">
        <f t="shared" si="4"/>
        <v>20</v>
      </c>
      <c r="B33" s="15">
        <f t="shared" si="5"/>
        <v>43994</v>
      </c>
      <c r="C33" s="14">
        <f t="shared" si="6"/>
        <v>40167511.304415405</v>
      </c>
      <c r="D33" s="14">
        <f t="shared" si="0"/>
        <v>539330.82316028629</v>
      </c>
      <c r="E33" s="14">
        <f t="shared" si="1"/>
        <v>167364.6304350642</v>
      </c>
      <c r="F33" s="14">
        <f t="shared" si="2"/>
        <v>706695.4535953505</v>
      </c>
      <c r="G33" s="14">
        <f t="shared" si="3"/>
        <v>39628180.481255122</v>
      </c>
      <c r="I33" s="4"/>
      <c r="J33" s="4"/>
      <c r="K33" s="4"/>
      <c r="L33" s="4"/>
    </row>
    <row r="34" spans="1:12" ht="15" customHeight="1" x14ac:dyDescent="0.25">
      <c r="A34" s="50">
        <f t="shared" si="4"/>
        <v>21</v>
      </c>
      <c r="B34" s="15">
        <f t="shared" si="5"/>
        <v>44025</v>
      </c>
      <c r="C34" s="14">
        <f t="shared" si="6"/>
        <v>39628180.481255122</v>
      </c>
      <c r="D34" s="14">
        <f t="shared" si="0"/>
        <v>541578.03492345416</v>
      </c>
      <c r="E34" s="14">
        <f t="shared" si="1"/>
        <v>165117.41867189636</v>
      </c>
      <c r="F34" s="14">
        <f t="shared" si="2"/>
        <v>706695.4535953505</v>
      </c>
      <c r="G34" s="14">
        <f t="shared" si="3"/>
        <v>39086602.446331665</v>
      </c>
      <c r="I34" s="4"/>
      <c r="J34" s="4"/>
      <c r="K34" s="4"/>
      <c r="L34" s="4"/>
    </row>
    <row r="35" spans="1:12" ht="15" customHeight="1" x14ac:dyDescent="0.25">
      <c r="A35" s="50">
        <f t="shared" si="4"/>
        <v>22</v>
      </c>
      <c r="B35" s="15">
        <f t="shared" si="5"/>
        <v>44056</v>
      </c>
      <c r="C35" s="14">
        <f t="shared" si="6"/>
        <v>39086602.446331665</v>
      </c>
      <c r="D35" s="14">
        <f t="shared" si="0"/>
        <v>543834.6100689685</v>
      </c>
      <c r="E35" s="14">
        <f t="shared" si="1"/>
        <v>162860.84352638194</v>
      </c>
      <c r="F35" s="14">
        <f t="shared" si="2"/>
        <v>706695.4535953505</v>
      </c>
      <c r="G35" s="14">
        <f t="shared" si="3"/>
        <v>38542767.836262695</v>
      </c>
      <c r="I35" s="4"/>
      <c r="J35" s="4"/>
      <c r="K35" s="4"/>
      <c r="L35" s="4"/>
    </row>
    <row r="36" spans="1:12" ht="15" customHeight="1" x14ac:dyDescent="0.25">
      <c r="A36" s="50">
        <f t="shared" si="4"/>
        <v>23</v>
      </c>
      <c r="B36" s="15">
        <f t="shared" si="5"/>
        <v>44087</v>
      </c>
      <c r="C36" s="14">
        <f t="shared" si="6"/>
        <v>38542767.836262695</v>
      </c>
      <c r="D36" s="14">
        <f t="shared" si="0"/>
        <v>546100.58761092264</v>
      </c>
      <c r="E36" s="14">
        <f t="shared" si="1"/>
        <v>160594.86598442789</v>
      </c>
      <c r="F36" s="14">
        <f t="shared" si="2"/>
        <v>706695.4535953505</v>
      </c>
      <c r="G36" s="14">
        <f t="shared" si="3"/>
        <v>37996667.248651773</v>
      </c>
      <c r="I36" s="4"/>
      <c r="J36" s="4"/>
      <c r="K36" s="4"/>
      <c r="L36" s="4"/>
    </row>
    <row r="37" spans="1:12" ht="15" customHeight="1" x14ac:dyDescent="0.25">
      <c r="A37" s="50">
        <f t="shared" si="4"/>
        <v>24</v>
      </c>
      <c r="B37" s="15">
        <f t="shared" si="5"/>
        <v>44118</v>
      </c>
      <c r="C37" s="14">
        <f t="shared" si="6"/>
        <v>37996667.248651773</v>
      </c>
      <c r="D37" s="14">
        <f t="shared" si="0"/>
        <v>548376.00672596809</v>
      </c>
      <c r="E37" s="14">
        <f t="shared" si="1"/>
        <v>158319.4468693824</v>
      </c>
      <c r="F37" s="14">
        <f t="shared" si="2"/>
        <v>706695.4535953505</v>
      </c>
      <c r="G37" s="14">
        <f t="shared" si="3"/>
        <v>37448291.241925806</v>
      </c>
      <c r="I37" s="4"/>
      <c r="J37" s="4"/>
      <c r="K37" s="4"/>
      <c r="L37" s="4"/>
    </row>
    <row r="38" spans="1:12" ht="15" customHeight="1" x14ac:dyDescent="0.25">
      <c r="A38" s="50">
        <f t="shared" si="4"/>
        <v>25</v>
      </c>
      <c r="B38" s="15">
        <f t="shared" si="5"/>
        <v>44149</v>
      </c>
      <c r="C38" s="14">
        <f t="shared" si="6"/>
        <v>37448291.241925806</v>
      </c>
      <c r="D38" s="14">
        <f t="shared" si="0"/>
        <v>550660.90675399301</v>
      </c>
      <c r="E38" s="14">
        <f t="shared" si="1"/>
        <v>156034.54684135751</v>
      </c>
      <c r="F38" s="14">
        <f t="shared" si="2"/>
        <v>706695.4535953505</v>
      </c>
      <c r="G38" s="14">
        <f t="shared" si="3"/>
        <v>36897630.335171811</v>
      </c>
      <c r="I38" s="4"/>
      <c r="J38" s="4"/>
      <c r="K38" s="4"/>
      <c r="L38" s="4"/>
    </row>
    <row r="39" spans="1:12" ht="15" customHeight="1" x14ac:dyDescent="0.25">
      <c r="A39" s="50">
        <f t="shared" si="4"/>
        <v>26</v>
      </c>
      <c r="B39" s="15">
        <f t="shared" si="5"/>
        <v>44180</v>
      </c>
      <c r="C39" s="14">
        <f t="shared" si="6"/>
        <v>36897630.335171811</v>
      </c>
      <c r="D39" s="14">
        <f t="shared" si="0"/>
        <v>552955.32719880133</v>
      </c>
      <c r="E39" s="14">
        <f t="shared" si="1"/>
        <v>153740.12639654923</v>
      </c>
      <c r="F39" s="14">
        <f t="shared" si="2"/>
        <v>706695.4535953505</v>
      </c>
      <c r="G39" s="14">
        <f t="shared" si="3"/>
        <v>36344675.007973008</v>
      </c>
      <c r="I39" s="4"/>
      <c r="J39" s="4"/>
      <c r="K39" s="4"/>
      <c r="L39" s="4"/>
    </row>
    <row r="40" spans="1:12" ht="15" customHeight="1" x14ac:dyDescent="0.25">
      <c r="A40" s="50">
        <f t="shared" si="4"/>
        <v>27</v>
      </c>
      <c r="B40" s="15">
        <f t="shared" si="5"/>
        <v>44211</v>
      </c>
      <c r="C40" s="14">
        <f t="shared" si="6"/>
        <v>36344675.007973008</v>
      </c>
      <c r="D40" s="14">
        <f t="shared" si="0"/>
        <v>555259.30772879627</v>
      </c>
      <c r="E40" s="14">
        <f t="shared" si="1"/>
        <v>151436.1458665542</v>
      </c>
      <c r="F40" s="14">
        <f t="shared" si="2"/>
        <v>706695.4535953505</v>
      </c>
      <c r="G40" s="14">
        <f t="shared" si="3"/>
        <v>35789415.700244211</v>
      </c>
      <c r="I40" s="4"/>
      <c r="J40" s="4"/>
      <c r="K40" s="4"/>
      <c r="L40" s="4"/>
    </row>
    <row r="41" spans="1:12" ht="15" customHeight="1" x14ac:dyDescent="0.25">
      <c r="A41" s="50">
        <f t="shared" si="4"/>
        <v>28</v>
      </c>
      <c r="B41" s="15">
        <f t="shared" si="5"/>
        <v>44242</v>
      </c>
      <c r="C41" s="14">
        <f t="shared" si="6"/>
        <v>35789415.700244211</v>
      </c>
      <c r="D41" s="14">
        <f t="shared" si="0"/>
        <v>557572.88817766623</v>
      </c>
      <c r="E41" s="14">
        <f t="shared" si="1"/>
        <v>149122.56541768424</v>
      </c>
      <c r="F41" s="14">
        <f t="shared" si="2"/>
        <v>706695.4535953505</v>
      </c>
      <c r="G41" s="14">
        <f t="shared" si="3"/>
        <v>35231842.812066548</v>
      </c>
      <c r="I41" s="4"/>
      <c r="J41" s="4"/>
      <c r="K41" s="4"/>
      <c r="L41" s="4"/>
    </row>
    <row r="42" spans="1:12" ht="15" customHeight="1" x14ac:dyDescent="0.25">
      <c r="A42" s="50">
        <f t="shared" si="4"/>
        <v>29</v>
      </c>
      <c r="B42" s="15">
        <f t="shared" si="5"/>
        <v>44273</v>
      </c>
      <c r="C42" s="14">
        <f t="shared" si="6"/>
        <v>35231842.812066548</v>
      </c>
      <c r="D42" s="14">
        <f t="shared" si="0"/>
        <v>559896.10854507319</v>
      </c>
      <c r="E42" s="14">
        <f t="shared" si="1"/>
        <v>146799.34505027728</v>
      </c>
      <c r="F42" s="14">
        <f t="shared" si="2"/>
        <v>706695.4535953505</v>
      </c>
      <c r="G42" s="14">
        <f t="shared" si="3"/>
        <v>34671946.703521475</v>
      </c>
      <c r="I42" s="4"/>
      <c r="J42" s="4"/>
      <c r="K42" s="4"/>
      <c r="L42" s="4"/>
    </row>
    <row r="43" spans="1:12" ht="15" customHeight="1" x14ac:dyDescent="0.25">
      <c r="A43" s="50">
        <f t="shared" si="4"/>
        <v>30</v>
      </c>
      <c r="B43" s="15">
        <f t="shared" si="5"/>
        <v>44304</v>
      </c>
      <c r="C43" s="14">
        <f t="shared" si="6"/>
        <v>34671946.703521475</v>
      </c>
      <c r="D43" s="14">
        <f t="shared" si="0"/>
        <v>562229.0089973443</v>
      </c>
      <c r="E43" s="14">
        <f t="shared" si="1"/>
        <v>144466.44459800617</v>
      </c>
      <c r="F43" s="14">
        <f t="shared" si="2"/>
        <v>706695.4535953505</v>
      </c>
      <c r="G43" s="14">
        <f t="shared" si="3"/>
        <v>34109717.694524132</v>
      </c>
      <c r="I43" s="4"/>
      <c r="J43" s="4"/>
      <c r="K43" s="4"/>
      <c r="L43" s="4"/>
    </row>
    <row r="44" spans="1:12" ht="15" customHeight="1" x14ac:dyDescent="0.25">
      <c r="A44" s="50">
        <f t="shared" si="4"/>
        <v>31</v>
      </c>
      <c r="B44" s="15">
        <f t="shared" si="5"/>
        <v>44335</v>
      </c>
      <c r="C44" s="14">
        <f t="shared" si="6"/>
        <v>34109717.694524132</v>
      </c>
      <c r="D44" s="14">
        <f t="shared" si="0"/>
        <v>564571.62986816664</v>
      </c>
      <c r="E44" s="14">
        <f t="shared" si="1"/>
        <v>142123.82372718389</v>
      </c>
      <c r="F44" s="14">
        <f t="shared" si="2"/>
        <v>706695.4535953505</v>
      </c>
      <c r="G44" s="14">
        <f t="shared" si="3"/>
        <v>33545146.064655963</v>
      </c>
    </row>
    <row r="45" spans="1:12" ht="15" customHeight="1" x14ac:dyDescent="0.25">
      <c r="A45" s="50">
        <f t="shared" si="4"/>
        <v>32</v>
      </c>
      <c r="B45" s="15">
        <f t="shared" si="5"/>
        <v>44366</v>
      </c>
      <c r="C45" s="14">
        <f t="shared" si="6"/>
        <v>33545146.064655963</v>
      </c>
      <c r="D45" s="14">
        <f t="shared" si="0"/>
        <v>566924.01165928401</v>
      </c>
      <c r="E45" s="14">
        <f t="shared" si="1"/>
        <v>139771.44193606652</v>
      </c>
      <c r="F45" s="14">
        <f t="shared" si="2"/>
        <v>706695.4535953505</v>
      </c>
      <c r="G45" s="14">
        <f t="shared" si="3"/>
        <v>32978222.05299668</v>
      </c>
    </row>
    <row r="46" spans="1:12" ht="15" customHeight="1" x14ac:dyDescent="0.25">
      <c r="A46" s="50">
        <f t="shared" si="4"/>
        <v>33</v>
      </c>
      <c r="B46" s="15">
        <f t="shared" si="5"/>
        <v>44397</v>
      </c>
      <c r="C46" s="14">
        <f t="shared" si="6"/>
        <v>32978222.05299668</v>
      </c>
      <c r="D46" s="14">
        <f t="shared" si="0"/>
        <v>569286.1950411977</v>
      </c>
      <c r="E46" s="14">
        <f t="shared" si="1"/>
        <v>137409.25855415282</v>
      </c>
      <c r="F46" s="14">
        <f t="shared" si="2"/>
        <v>706695.4535953505</v>
      </c>
      <c r="G46" s="14">
        <f t="shared" si="3"/>
        <v>32408935.857955482</v>
      </c>
    </row>
    <row r="47" spans="1:12" ht="15" customHeight="1" x14ac:dyDescent="0.25">
      <c r="A47" s="50">
        <f t="shared" si="4"/>
        <v>34</v>
      </c>
      <c r="B47" s="15">
        <f t="shared" si="5"/>
        <v>44428</v>
      </c>
      <c r="C47" s="14">
        <f t="shared" si="6"/>
        <v>32408935.857955482</v>
      </c>
      <c r="D47" s="14">
        <f t="shared" si="0"/>
        <v>571658.22085386934</v>
      </c>
      <c r="E47" s="14">
        <f t="shared" si="1"/>
        <v>135037.23274148119</v>
      </c>
      <c r="F47" s="14">
        <f t="shared" si="2"/>
        <v>706695.4535953505</v>
      </c>
      <c r="G47" s="14">
        <f t="shared" si="3"/>
        <v>31837277.637101613</v>
      </c>
      <c r="I47" s="4"/>
      <c r="J47" s="4"/>
      <c r="K47" s="4"/>
      <c r="L47" s="4"/>
    </row>
    <row r="48" spans="1:12" ht="15" customHeight="1" x14ac:dyDescent="0.25">
      <c r="A48" s="50">
        <f t="shared" si="4"/>
        <v>35</v>
      </c>
      <c r="B48" s="15">
        <f t="shared" si="5"/>
        <v>44459</v>
      </c>
      <c r="C48" s="14">
        <f t="shared" si="6"/>
        <v>31837277.637101613</v>
      </c>
      <c r="D48" s="14">
        <f t="shared" si="0"/>
        <v>574040.13010742713</v>
      </c>
      <c r="E48" s="14">
        <f t="shared" si="1"/>
        <v>132655.32348792339</v>
      </c>
      <c r="F48" s="14">
        <f t="shared" si="2"/>
        <v>706695.4535953505</v>
      </c>
      <c r="G48" s="14">
        <f t="shared" si="3"/>
        <v>31263237.506994184</v>
      </c>
      <c r="I48" s="4"/>
      <c r="J48" s="4"/>
      <c r="K48" s="4"/>
      <c r="L48" s="4"/>
    </row>
    <row r="49" spans="1:7" ht="15" customHeight="1" x14ac:dyDescent="0.25">
      <c r="A49" s="50">
        <f t="shared" si="4"/>
        <v>36</v>
      </c>
      <c r="B49" s="15">
        <f t="shared" si="5"/>
        <v>44490</v>
      </c>
      <c r="C49" s="14">
        <f t="shared" si="6"/>
        <v>31263237.506994184</v>
      </c>
      <c r="D49" s="14">
        <f t="shared" si="0"/>
        <v>576431.96398287476</v>
      </c>
      <c r="E49" s="14">
        <f t="shared" si="1"/>
        <v>130263.48961247578</v>
      </c>
      <c r="F49" s="14">
        <f t="shared" si="2"/>
        <v>706695.4535953505</v>
      </c>
      <c r="G49" s="14">
        <f t="shared" si="3"/>
        <v>30686805.543011308</v>
      </c>
    </row>
    <row r="50" spans="1:7" ht="15" customHeight="1" x14ac:dyDescent="0.25">
      <c r="A50" s="50">
        <f t="shared" si="4"/>
        <v>37</v>
      </c>
      <c r="B50" s="15">
        <f t="shared" si="5"/>
        <v>44521</v>
      </c>
      <c r="C50" s="14">
        <f t="shared" si="6"/>
        <v>30686805.543011308</v>
      </c>
      <c r="D50" s="14">
        <f t="shared" si="0"/>
        <v>578833.76383280335</v>
      </c>
      <c r="E50" s="14">
        <f t="shared" si="1"/>
        <v>127861.68976254713</v>
      </c>
      <c r="F50" s="14">
        <f t="shared" si="2"/>
        <v>706695.4535953505</v>
      </c>
      <c r="G50" s="14">
        <f t="shared" si="3"/>
        <v>30107971.779178504</v>
      </c>
    </row>
    <row r="51" spans="1:7" ht="15" customHeight="1" x14ac:dyDescent="0.25">
      <c r="A51" s="50">
        <f t="shared" si="4"/>
        <v>38</v>
      </c>
      <c r="B51" s="15">
        <f t="shared" si="5"/>
        <v>44552</v>
      </c>
      <c r="C51" s="14">
        <f t="shared" si="6"/>
        <v>30107971.779178504</v>
      </c>
      <c r="D51" s="14">
        <f t="shared" si="0"/>
        <v>581245.57118210674</v>
      </c>
      <c r="E51" s="14">
        <f t="shared" si="1"/>
        <v>125449.88241324377</v>
      </c>
      <c r="F51" s="14">
        <f t="shared" si="2"/>
        <v>706695.4535953505</v>
      </c>
      <c r="G51" s="14">
        <f t="shared" si="3"/>
        <v>29526726.207996398</v>
      </c>
    </row>
    <row r="52" spans="1:7" ht="15" customHeight="1" x14ac:dyDescent="0.25">
      <c r="A52" s="50">
        <f t="shared" si="4"/>
        <v>39</v>
      </c>
      <c r="B52" s="15">
        <f t="shared" si="5"/>
        <v>44583</v>
      </c>
      <c r="C52" s="14">
        <f t="shared" si="6"/>
        <v>29526726.207996398</v>
      </c>
      <c r="D52" s="14">
        <f t="shared" si="0"/>
        <v>583667.42772869882</v>
      </c>
      <c r="E52" s="14">
        <f t="shared" si="1"/>
        <v>123028.02586665167</v>
      </c>
      <c r="F52" s="14">
        <f t="shared" si="2"/>
        <v>706695.4535953505</v>
      </c>
      <c r="G52" s="14">
        <f t="shared" si="3"/>
        <v>28943058.780267701</v>
      </c>
    </row>
    <row r="53" spans="1:7" ht="15" customHeight="1" x14ac:dyDescent="0.25">
      <c r="A53" s="50">
        <f t="shared" si="4"/>
        <v>40</v>
      </c>
      <c r="B53" s="15">
        <f t="shared" si="5"/>
        <v>44614</v>
      </c>
      <c r="C53" s="14">
        <f t="shared" si="6"/>
        <v>28943058.780267701</v>
      </c>
      <c r="D53" s="14">
        <f t="shared" si="0"/>
        <v>586099.3753442351</v>
      </c>
      <c r="E53" s="14">
        <f t="shared" si="1"/>
        <v>120596.07825111544</v>
      </c>
      <c r="F53" s="14">
        <f t="shared" si="2"/>
        <v>706695.4535953505</v>
      </c>
      <c r="G53" s="14">
        <f t="shared" si="3"/>
        <v>28356959.404923465</v>
      </c>
    </row>
    <row r="54" spans="1:7" ht="15" customHeight="1" x14ac:dyDescent="0.25">
      <c r="A54" s="50">
        <f t="shared" si="4"/>
        <v>41</v>
      </c>
      <c r="B54" s="15">
        <f t="shared" si="5"/>
        <v>44645</v>
      </c>
      <c r="C54" s="14">
        <f t="shared" si="6"/>
        <v>28356959.404923465</v>
      </c>
      <c r="D54" s="14">
        <f t="shared" si="0"/>
        <v>588541.45607483608</v>
      </c>
      <c r="E54" s="14">
        <f t="shared" si="1"/>
        <v>118153.99752051446</v>
      </c>
      <c r="F54" s="14">
        <f t="shared" si="2"/>
        <v>706695.4535953505</v>
      </c>
      <c r="G54" s="14">
        <f t="shared" si="3"/>
        <v>27768417.948848628</v>
      </c>
    </row>
    <row r="55" spans="1:7" ht="15" customHeight="1" x14ac:dyDescent="0.25">
      <c r="A55" s="50">
        <f t="shared" si="4"/>
        <v>42</v>
      </c>
      <c r="B55" s="15">
        <f t="shared" si="5"/>
        <v>44676</v>
      </c>
      <c r="C55" s="14">
        <f t="shared" si="6"/>
        <v>27768417.948848628</v>
      </c>
      <c r="D55" s="14">
        <f t="shared" si="0"/>
        <v>590993.71214181453</v>
      </c>
      <c r="E55" s="14">
        <f t="shared" si="1"/>
        <v>115701.74145353596</v>
      </c>
      <c r="F55" s="14">
        <f t="shared" si="2"/>
        <v>706695.4535953505</v>
      </c>
      <c r="G55" s="14">
        <f t="shared" si="3"/>
        <v>27177424.236706812</v>
      </c>
    </row>
    <row r="56" spans="1:7" ht="15" customHeight="1" x14ac:dyDescent="0.25">
      <c r="A56" s="50">
        <f t="shared" si="4"/>
        <v>43</v>
      </c>
      <c r="B56" s="15">
        <f t="shared" si="5"/>
        <v>44707</v>
      </c>
      <c r="C56" s="14">
        <f t="shared" si="6"/>
        <v>27177424.236706812</v>
      </c>
      <c r="D56" s="14">
        <f t="shared" si="0"/>
        <v>593456.18594240549</v>
      </c>
      <c r="E56" s="14">
        <f t="shared" si="1"/>
        <v>113239.26765294505</v>
      </c>
      <c r="F56" s="14">
        <f t="shared" si="2"/>
        <v>706695.4535953505</v>
      </c>
      <c r="G56" s="14">
        <f t="shared" si="3"/>
        <v>26583968.050764408</v>
      </c>
    </row>
    <row r="57" spans="1:7" ht="15" customHeight="1" x14ac:dyDescent="0.25">
      <c r="A57" s="50">
        <f t="shared" si="4"/>
        <v>44</v>
      </c>
      <c r="B57" s="15">
        <f t="shared" si="5"/>
        <v>44738</v>
      </c>
      <c r="C57" s="14">
        <f t="shared" si="6"/>
        <v>26583968.050764408</v>
      </c>
      <c r="D57" s="14">
        <f t="shared" si="0"/>
        <v>595928.9200504988</v>
      </c>
      <c r="E57" s="14">
        <f t="shared" si="1"/>
        <v>110766.5335448517</v>
      </c>
      <c r="F57" s="14">
        <f t="shared" si="2"/>
        <v>706695.4535953505</v>
      </c>
      <c r="G57" s="14">
        <f t="shared" si="3"/>
        <v>25988039.13071391</v>
      </c>
    </row>
    <row r="58" spans="1:7" ht="15" customHeight="1" x14ac:dyDescent="0.25">
      <c r="A58" s="50">
        <f t="shared" si="4"/>
        <v>45</v>
      </c>
      <c r="B58" s="15">
        <f t="shared" si="5"/>
        <v>44769</v>
      </c>
      <c r="C58" s="14">
        <f t="shared" si="6"/>
        <v>25988039.13071391</v>
      </c>
      <c r="D58" s="14">
        <f t="shared" si="0"/>
        <v>598411.95721737586</v>
      </c>
      <c r="E58" s="14">
        <f t="shared" si="1"/>
        <v>108283.49637797463</v>
      </c>
      <c r="F58" s="14">
        <f t="shared" si="2"/>
        <v>706695.4535953505</v>
      </c>
      <c r="G58" s="14">
        <f t="shared" si="3"/>
        <v>25389627.173496533</v>
      </c>
    </row>
    <row r="59" spans="1:7" ht="15" customHeight="1" x14ac:dyDescent="0.25">
      <c r="A59" s="50">
        <f t="shared" si="4"/>
        <v>46</v>
      </c>
      <c r="B59" s="15">
        <f t="shared" si="5"/>
        <v>44800</v>
      </c>
      <c r="C59" s="14">
        <f t="shared" si="6"/>
        <v>25389627.173496533</v>
      </c>
      <c r="D59" s="14">
        <f t="shared" si="0"/>
        <v>600905.34037244832</v>
      </c>
      <c r="E59" s="14">
        <f t="shared" si="1"/>
        <v>105790.11322290223</v>
      </c>
      <c r="F59" s="14">
        <f t="shared" si="2"/>
        <v>706695.4535953505</v>
      </c>
      <c r="G59" s="14">
        <f t="shared" si="3"/>
        <v>24788721.833124086</v>
      </c>
    </row>
    <row r="60" spans="1:7" ht="15" customHeight="1" x14ac:dyDescent="0.25">
      <c r="A60" s="50">
        <f t="shared" si="4"/>
        <v>47</v>
      </c>
      <c r="B60" s="15">
        <f t="shared" si="5"/>
        <v>44831</v>
      </c>
      <c r="C60" s="14">
        <f t="shared" si="6"/>
        <v>24788721.833124086</v>
      </c>
      <c r="D60" s="14">
        <f t="shared" si="0"/>
        <v>603409.11262400018</v>
      </c>
      <c r="E60" s="14">
        <f t="shared" si="1"/>
        <v>103286.34097135036</v>
      </c>
      <c r="F60" s="14">
        <f t="shared" si="2"/>
        <v>706695.4535953505</v>
      </c>
      <c r="G60" s="14">
        <f t="shared" si="3"/>
        <v>24185312.720500086</v>
      </c>
    </row>
    <row r="61" spans="1:7" ht="15" customHeight="1" x14ac:dyDescent="0.25">
      <c r="A61" s="50">
        <f t="shared" si="4"/>
        <v>48</v>
      </c>
      <c r="B61" s="15">
        <f t="shared" si="5"/>
        <v>44862</v>
      </c>
      <c r="C61" s="14">
        <f t="shared" si="6"/>
        <v>24185312.720500086</v>
      </c>
      <c r="D61" s="14">
        <f t="shared" si="0"/>
        <v>605923.31725993345</v>
      </c>
      <c r="E61" s="14">
        <f t="shared" si="1"/>
        <v>100772.13633541703</v>
      </c>
      <c r="F61" s="14">
        <f t="shared" si="2"/>
        <v>706695.4535953505</v>
      </c>
      <c r="G61" s="14">
        <f t="shared" si="3"/>
        <v>23579389.403240152</v>
      </c>
    </row>
    <row r="62" spans="1:7" ht="15" customHeight="1" x14ac:dyDescent="0.25">
      <c r="A62" s="50">
        <f t="shared" si="4"/>
        <v>49</v>
      </c>
      <c r="B62" s="15">
        <f t="shared" si="5"/>
        <v>44893</v>
      </c>
      <c r="C62" s="14">
        <f t="shared" si="6"/>
        <v>23579389.403240152</v>
      </c>
      <c r="D62" s="14">
        <f t="shared" si="0"/>
        <v>608447.9977485165</v>
      </c>
      <c r="E62" s="14">
        <f t="shared" si="1"/>
        <v>98247.455846833982</v>
      </c>
      <c r="F62" s="14">
        <f t="shared" si="2"/>
        <v>706695.4535953505</v>
      </c>
      <c r="G62" s="14">
        <f t="shared" si="3"/>
        <v>22970941.405491635</v>
      </c>
    </row>
    <row r="63" spans="1:7" ht="15" customHeight="1" x14ac:dyDescent="0.25">
      <c r="A63" s="50">
        <f t="shared" si="4"/>
        <v>50</v>
      </c>
      <c r="B63" s="15">
        <f t="shared" si="5"/>
        <v>44924</v>
      </c>
      <c r="C63" s="14">
        <f t="shared" si="6"/>
        <v>22970941.405491635</v>
      </c>
      <c r="D63" s="14">
        <f t="shared" si="0"/>
        <v>610983.19773913536</v>
      </c>
      <c r="E63" s="14">
        <f t="shared" si="1"/>
        <v>95712.255856215153</v>
      </c>
      <c r="F63" s="14">
        <f t="shared" si="2"/>
        <v>706695.4535953505</v>
      </c>
      <c r="G63" s="14">
        <f t="shared" si="3"/>
        <v>22359958.2077525</v>
      </c>
    </row>
    <row r="64" spans="1:7" ht="15" customHeight="1" x14ac:dyDescent="0.25">
      <c r="A64" s="50">
        <f t="shared" si="4"/>
        <v>51</v>
      </c>
      <c r="B64" s="15">
        <f t="shared" si="5"/>
        <v>44955</v>
      </c>
      <c r="C64" s="14">
        <f t="shared" si="6"/>
        <v>22359958.2077525</v>
      </c>
      <c r="D64" s="14">
        <f t="shared" si="0"/>
        <v>613528.96106304845</v>
      </c>
      <c r="E64" s="14">
        <f t="shared" si="1"/>
        <v>93166.492532302087</v>
      </c>
      <c r="F64" s="14">
        <f t="shared" si="2"/>
        <v>706695.4535953505</v>
      </c>
      <c r="G64" s="14">
        <f t="shared" si="3"/>
        <v>21746429.24668945</v>
      </c>
    </row>
    <row r="65" spans="1:7" ht="15" customHeight="1" x14ac:dyDescent="0.25">
      <c r="A65" s="50">
        <f t="shared" si="4"/>
        <v>52</v>
      </c>
      <c r="B65" s="15">
        <f>B64+28</f>
        <v>44983</v>
      </c>
      <c r="C65" s="14">
        <f t="shared" si="6"/>
        <v>21746429.24668945</v>
      </c>
      <c r="D65" s="14">
        <f t="shared" si="0"/>
        <v>616085.33173414448</v>
      </c>
      <c r="E65" s="14">
        <f t="shared" si="1"/>
        <v>90610.121861206033</v>
      </c>
      <c r="F65" s="14">
        <f t="shared" si="2"/>
        <v>706695.4535953505</v>
      </c>
      <c r="G65" s="14">
        <f t="shared" si="3"/>
        <v>21130343.914955307</v>
      </c>
    </row>
    <row r="66" spans="1:7" ht="15" customHeight="1" x14ac:dyDescent="0.25">
      <c r="A66" s="50">
        <f t="shared" si="4"/>
        <v>53</v>
      </c>
      <c r="B66" s="15">
        <f t="shared" ref="B66:B71" si="7">B65+31</f>
        <v>45014</v>
      </c>
      <c r="C66" s="14">
        <f t="shared" si="6"/>
        <v>21130343.914955307</v>
      </c>
      <c r="D66" s="14">
        <f t="shared" si="0"/>
        <v>618652.35394970339</v>
      </c>
      <c r="E66" s="14">
        <f t="shared" si="1"/>
        <v>88043.099645647118</v>
      </c>
      <c r="F66" s="14">
        <f t="shared" si="2"/>
        <v>706695.4535953505</v>
      </c>
      <c r="G66" s="14">
        <f t="shared" si="3"/>
        <v>20511691.561005604</v>
      </c>
    </row>
    <row r="67" spans="1:7" ht="15" customHeight="1" x14ac:dyDescent="0.25">
      <c r="A67" s="50">
        <f t="shared" si="4"/>
        <v>54</v>
      </c>
      <c r="B67" s="15">
        <f t="shared" si="7"/>
        <v>45045</v>
      </c>
      <c r="C67" s="14">
        <f t="shared" si="6"/>
        <v>20511691.561005604</v>
      </c>
      <c r="D67" s="14">
        <f t="shared" si="0"/>
        <v>621230.07209116046</v>
      </c>
      <c r="E67" s="14">
        <f t="shared" si="1"/>
        <v>85465.381504190023</v>
      </c>
      <c r="F67" s="14">
        <f t="shared" si="2"/>
        <v>706695.4535953505</v>
      </c>
      <c r="G67" s="14">
        <f t="shared" si="3"/>
        <v>19890461.488914441</v>
      </c>
    </row>
    <row r="68" spans="1:7" ht="15" customHeight="1" x14ac:dyDescent="0.25">
      <c r="A68" s="50">
        <f t="shared" si="4"/>
        <v>55</v>
      </c>
      <c r="B68" s="15">
        <f t="shared" si="7"/>
        <v>45076</v>
      </c>
      <c r="C68" s="14">
        <f t="shared" si="6"/>
        <v>19890461.488914441</v>
      </c>
      <c r="D68" s="14">
        <f t="shared" si="0"/>
        <v>623818.53072487365</v>
      </c>
      <c r="E68" s="14">
        <f t="shared" si="1"/>
        <v>82876.922870476847</v>
      </c>
      <c r="F68" s="14">
        <f t="shared" si="2"/>
        <v>706695.4535953505</v>
      </c>
      <c r="G68" s="14">
        <f t="shared" si="3"/>
        <v>19266642.958189569</v>
      </c>
    </row>
    <row r="69" spans="1:7" ht="15" customHeight="1" x14ac:dyDescent="0.25">
      <c r="A69" s="50">
        <f t="shared" si="4"/>
        <v>56</v>
      </c>
      <c r="B69" s="15">
        <f t="shared" si="7"/>
        <v>45107</v>
      </c>
      <c r="C69" s="14">
        <f t="shared" si="6"/>
        <v>19266642.958189569</v>
      </c>
      <c r="D69" s="14">
        <f t="shared" si="0"/>
        <v>626417.77460289397</v>
      </c>
      <c r="E69" s="14">
        <f t="shared" si="1"/>
        <v>80277.678992456538</v>
      </c>
      <c r="F69" s="14">
        <f t="shared" si="2"/>
        <v>706695.4535953505</v>
      </c>
      <c r="G69" s="14">
        <f t="shared" si="3"/>
        <v>18640225.183586676</v>
      </c>
    </row>
    <row r="70" spans="1:7" ht="15" customHeight="1" x14ac:dyDescent="0.25">
      <c r="A70" s="50">
        <f t="shared" si="4"/>
        <v>57</v>
      </c>
      <c r="B70" s="15">
        <f t="shared" si="7"/>
        <v>45138</v>
      </c>
      <c r="C70" s="14">
        <f t="shared" si="6"/>
        <v>18640225.183586676</v>
      </c>
      <c r="D70" s="14">
        <f t="shared" si="0"/>
        <v>629027.84866373939</v>
      </c>
      <c r="E70" s="14">
        <f t="shared" si="1"/>
        <v>77667.604931611146</v>
      </c>
      <c r="F70" s="14">
        <f t="shared" si="2"/>
        <v>706695.4535953505</v>
      </c>
      <c r="G70" s="14">
        <f t="shared" si="3"/>
        <v>18011197.334922936</v>
      </c>
    </row>
    <row r="71" spans="1:7" ht="15" customHeight="1" x14ac:dyDescent="0.25">
      <c r="A71" s="50">
        <f t="shared" si="4"/>
        <v>58</v>
      </c>
      <c r="B71" s="15">
        <f t="shared" si="7"/>
        <v>45169</v>
      </c>
      <c r="C71" s="14">
        <f t="shared" si="6"/>
        <v>18011197.334922936</v>
      </c>
      <c r="D71" s="14">
        <f t="shared" si="0"/>
        <v>631648.79803317157</v>
      </c>
      <c r="E71" s="14">
        <f t="shared" si="1"/>
        <v>75046.655562178901</v>
      </c>
      <c r="F71" s="14">
        <f t="shared" si="2"/>
        <v>706695.4535953505</v>
      </c>
      <c r="G71" s="14">
        <f t="shared" si="3"/>
        <v>17379548.536889765</v>
      </c>
    </row>
    <row r="72" spans="1:7" ht="15" customHeight="1" x14ac:dyDescent="0.25">
      <c r="A72" s="50">
        <f t="shared" si="4"/>
        <v>59</v>
      </c>
      <c r="B72" s="15">
        <f>B71+30</f>
        <v>45199</v>
      </c>
      <c r="C72" s="14">
        <f t="shared" si="6"/>
        <v>17379548.536889765</v>
      </c>
      <c r="D72" s="14">
        <f t="shared" si="0"/>
        <v>634280.6680249765</v>
      </c>
      <c r="E72" s="14">
        <f t="shared" si="1"/>
        <v>72414.785570374035</v>
      </c>
      <c r="F72" s="14">
        <f t="shared" si="2"/>
        <v>706695.4535953505</v>
      </c>
      <c r="G72" s="14">
        <f t="shared" si="3"/>
        <v>16745267.86886479</v>
      </c>
    </row>
    <row r="73" spans="1:7" ht="15" customHeight="1" x14ac:dyDescent="0.25">
      <c r="A73" s="50">
        <f t="shared" si="4"/>
        <v>60</v>
      </c>
      <c r="B73" s="15">
        <f>B72+31</f>
        <v>45230</v>
      </c>
      <c r="C73" s="14">
        <f t="shared" si="6"/>
        <v>16745267.86886479</v>
      </c>
      <c r="D73" s="14">
        <f t="shared" si="0"/>
        <v>636923.50414174725</v>
      </c>
      <c r="E73" s="14">
        <f t="shared" si="1"/>
        <v>69771.949453603287</v>
      </c>
      <c r="F73" s="14">
        <f t="shared" si="2"/>
        <v>706695.4535953505</v>
      </c>
      <c r="G73" s="14">
        <f t="shared" si="3"/>
        <v>16108344.364723042</v>
      </c>
    </row>
    <row r="74" spans="1:7" ht="15" customHeight="1" x14ac:dyDescent="0.25">
      <c r="A74" s="50">
        <f t="shared" si="4"/>
        <v>61</v>
      </c>
      <c r="B74" s="15">
        <f>B73+30</f>
        <v>45260</v>
      </c>
      <c r="C74" s="14">
        <f t="shared" si="6"/>
        <v>16108344.364723042</v>
      </c>
      <c r="D74" s="14">
        <f t="shared" si="0"/>
        <v>639577.3520756712</v>
      </c>
      <c r="E74" s="14">
        <f t="shared" si="1"/>
        <v>67118.101519679345</v>
      </c>
      <c r="F74" s="14">
        <f t="shared" si="2"/>
        <v>706695.4535953505</v>
      </c>
      <c r="G74" s="14">
        <f t="shared" si="3"/>
        <v>15468767.01264737</v>
      </c>
    </row>
    <row r="75" spans="1:7" ht="15" customHeight="1" x14ac:dyDescent="0.25">
      <c r="A75" s="50">
        <f t="shared" si="4"/>
        <v>62</v>
      </c>
      <c r="B75" s="15">
        <f>B74+31</f>
        <v>45291</v>
      </c>
      <c r="C75" s="14">
        <f t="shared" si="6"/>
        <v>15468767.01264737</v>
      </c>
      <c r="D75" s="14">
        <f t="shared" si="0"/>
        <v>642242.25770931982</v>
      </c>
      <c r="E75" s="14">
        <f t="shared" si="1"/>
        <v>64453.195886030713</v>
      </c>
      <c r="F75" s="14">
        <f t="shared" si="2"/>
        <v>706695.4535953505</v>
      </c>
      <c r="G75" s="14">
        <f t="shared" si="3"/>
        <v>14826524.754938049</v>
      </c>
    </row>
    <row r="76" spans="1:7" ht="15" customHeight="1" x14ac:dyDescent="0.25">
      <c r="A76" s="50">
        <f t="shared" si="4"/>
        <v>63</v>
      </c>
      <c r="B76" s="15">
        <f>B75+31</f>
        <v>45322</v>
      </c>
      <c r="C76" s="14">
        <f t="shared" si="6"/>
        <v>14826524.754938049</v>
      </c>
      <c r="D76" s="14">
        <f t="shared" si="0"/>
        <v>644918.26711644197</v>
      </c>
      <c r="E76" s="14">
        <f t="shared" si="1"/>
        <v>61777.186478908545</v>
      </c>
      <c r="F76" s="14">
        <f t="shared" si="2"/>
        <v>706695.4535953505</v>
      </c>
      <c r="G76" s="14">
        <f t="shared" si="3"/>
        <v>14181606.487821607</v>
      </c>
    </row>
    <row r="77" spans="1:7" ht="15" customHeight="1" x14ac:dyDescent="0.25">
      <c r="A77" s="50">
        <f t="shared" si="4"/>
        <v>64</v>
      </c>
      <c r="B77" s="15">
        <f>B76+28</f>
        <v>45350</v>
      </c>
      <c r="C77" s="14">
        <f t="shared" si="6"/>
        <v>14181606.487821607</v>
      </c>
      <c r="D77" s="14">
        <f t="shared" si="0"/>
        <v>647605.42656276049</v>
      </c>
      <c r="E77" s="14">
        <f t="shared" si="1"/>
        <v>59090.027032590035</v>
      </c>
      <c r="F77" s="14">
        <f t="shared" si="2"/>
        <v>706695.4535953505</v>
      </c>
      <c r="G77" s="14">
        <f t="shared" si="3"/>
        <v>13534001.061258847</v>
      </c>
    </row>
    <row r="78" spans="1:7" ht="15" customHeight="1" x14ac:dyDescent="0.25">
      <c r="A78" s="50">
        <f t="shared" si="4"/>
        <v>65</v>
      </c>
      <c r="B78" s="15">
        <f>B77+31</f>
        <v>45381</v>
      </c>
      <c r="C78" s="14">
        <f t="shared" si="6"/>
        <v>13534001.061258847</v>
      </c>
      <c r="D78" s="14">
        <f t="shared" ref="D78:D97" si="8">$C$10-E78</f>
        <v>650303.78250677197</v>
      </c>
      <c r="E78" s="14">
        <f t="shared" ref="E78:E97" si="9">C78*$C$8/12</f>
        <v>56391.671088578529</v>
      </c>
      <c r="F78" s="14">
        <f t="shared" ref="F78:F97" si="10">D78+E78</f>
        <v>706695.4535953505</v>
      </c>
      <c r="G78" s="14">
        <f t="shared" ref="G78:G97" si="11">C78-D78</f>
        <v>12883697.278752076</v>
      </c>
    </row>
    <row r="79" spans="1:7" ht="15" customHeight="1" x14ac:dyDescent="0.25">
      <c r="A79" s="50">
        <f t="shared" ref="A79:A97" si="12">A78+1</f>
        <v>66</v>
      </c>
      <c r="B79" s="15">
        <f>B78+31</f>
        <v>45412</v>
      </c>
      <c r="C79" s="14">
        <f t="shared" ref="C79:C97" si="13">C78-D78</f>
        <v>12883697.278752076</v>
      </c>
      <c r="D79" s="14">
        <f t="shared" si="8"/>
        <v>653013.38160055014</v>
      </c>
      <c r="E79" s="14">
        <f t="shared" si="9"/>
        <v>53682.071994800317</v>
      </c>
      <c r="F79" s="14">
        <f t="shared" si="10"/>
        <v>706695.4535953505</v>
      </c>
      <c r="G79" s="14">
        <f t="shared" si="11"/>
        <v>12230683.897151526</v>
      </c>
    </row>
    <row r="80" spans="1:7" ht="15" customHeight="1" x14ac:dyDescent="0.25">
      <c r="A80" s="50">
        <f t="shared" si="12"/>
        <v>67</v>
      </c>
      <c r="B80" s="15">
        <f>B79+31</f>
        <v>45443</v>
      </c>
      <c r="C80" s="14">
        <f t="shared" si="13"/>
        <v>12230683.897151526</v>
      </c>
      <c r="D80" s="14">
        <f t="shared" si="8"/>
        <v>655734.27069055242</v>
      </c>
      <c r="E80" s="14">
        <f t="shared" si="9"/>
        <v>50961.182904798021</v>
      </c>
      <c r="F80" s="14">
        <f t="shared" si="10"/>
        <v>706695.4535953505</v>
      </c>
      <c r="G80" s="14">
        <f t="shared" si="11"/>
        <v>11574949.626460973</v>
      </c>
    </row>
    <row r="81" spans="1:7" ht="15" customHeight="1" x14ac:dyDescent="0.25">
      <c r="A81" s="50">
        <f t="shared" si="12"/>
        <v>68</v>
      </c>
      <c r="B81" s="15">
        <f>B80+30</f>
        <v>45473</v>
      </c>
      <c r="C81" s="14">
        <f t="shared" si="13"/>
        <v>11574949.626460973</v>
      </c>
      <c r="D81" s="14">
        <f t="shared" si="8"/>
        <v>658466.49681842979</v>
      </c>
      <c r="E81" s="14">
        <f t="shared" si="9"/>
        <v>48228.956776920728</v>
      </c>
      <c r="F81" s="14">
        <f t="shared" si="10"/>
        <v>706695.4535953505</v>
      </c>
      <c r="G81" s="14">
        <f t="shared" si="11"/>
        <v>10916483.129642542</v>
      </c>
    </row>
    <row r="82" spans="1:7" ht="15" customHeight="1" x14ac:dyDescent="0.25">
      <c r="A82" s="50">
        <f t="shared" si="12"/>
        <v>69</v>
      </c>
      <c r="B82" s="15">
        <f>B81+30</f>
        <v>45503</v>
      </c>
      <c r="C82" s="14">
        <f t="shared" si="13"/>
        <v>10916483.129642542</v>
      </c>
      <c r="D82" s="14">
        <f t="shared" si="8"/>
        <v>661210.10722183995</v>
      </c>
      <c r="E82" s="14">
        <f t="shared" si="9"/>
        <v>45485.346373510598</v>
      </c>
      <c r="F82" s="14">
        <f t="shared" si="10"/>
        <v>706695.4535953505</v>
      </c>
      <c r="G82" s="14">
        <f t="shared" si="11"/>
        <v>10255273.022420703</v>
      </c>
    </row>
    <row r="83" spans="1:7" ht="15" customHeight="1" x14ac:dyDescent="0.25">
      <c r="A83" s="50">
        <f t="shared" si="12"/>
        <v>70</v>
      </c>
      <c r="B83" s="15">
        <f>B82+30</f>
        <v>45533</v>
      </c>
      <c r="C83" s="14">
        <f t="shared" si="13"/>
        <v>10255273.022420703</v>
      </c>
      <c r="D83" s="14">
        <f t="shared" si="8"/>
        <v>663965.14933526423</v>
      </c>
      <c r="E83" s="14">
        <f t="shared" si="9"/>
        <v>42730.304260086261</v>
      </c>
      <c r="F83" s="14">
        <f t="shared" si="10"/>
        <v>706695.4535953505</v>
      </c>
      <c r="G83" s="14">
        <f t="shared" si="11"/>
        <v>9591307.8730854392</v>
      </c>
    </row>
    <row r="84" spans="1:7" ht="15" customHeight="1" x14ac:dyDescent="0.25">
      <c r="A84" s="50">
        <f t="shared" si="12"/>
        <v>71</v>
      </c>
      <c r="B84" s="15">
        <f>B83+31</f>
        <v>45564</v>
      </c>
      <c r="C84" s="14">
        <f t="shared" si="13"/>
        <v>9591307.8730854392</v>
      </c>
      <c r="D84" s="14">
        <f t="shared" si="8"/>
        <v>666731.67079082783</v>
      </c>
      <c r="E84" s="14">
        <f t="shared" si="9"/>
        <v>39963.782804522663</v>
      </c>
      <c r="F84" s="14">
        <f t="shared" si="10"/>
        <v>706695.4535953505</v>
      </c>
      <c r="G84" s="14">
        <f t="shared" si="11"/>
        <v>8924576.2022946104</v>
      </c>
    </row>
    <row r="85" spans="1:7" ht="15" customHeight="1" x14ac:dyDescent="0.25">
      <c r="A85" s="50">
        <f t="shared" si="12"/>
        <v>72</v>
      </c>
      <c r="B85" s="15">
        <f>B84+31</f>
        <v>45595</v>
      </c>
      <c r="C85" s="14">
        <f t="shared" si="13"/>
        <v>8924576.2022946104</v>
      </c>
      <c r="D85" s="14">
        <f t="shared" si="8"/>
        <v>669509.71941912291</v>
      </c>
      <c r="E85" s="14">
        <f t="shared" si="9"/>
        <v>37185.734176227546</v>
      </c>
      <c r="F85" s="14">
        <f t="shared" si="10"/>
        <v>706695.4535953505</v>
      </c>
      <c r="G85" s="14">
        <f t="shared" si="11"/>
        <v>8255066.4828754878</v>
      </c>
    </row>
    <row r="86" spans="1:7" ht="15" customHeight="1" x14ac:dyDescent="0.25">
      <c r="A86" s="50">
        <f t="shared" si="12"/>
        <v>73</v>
      </c>
      <c r="B86" s="15">
        <f>B85+31</f>
        <v>45626</v>
      </c>
      <c r="C86" s="14">
        <f t="shared" si="13"/>
        <v>8255066.4828754878</v>
      </c>
      <c r="D86" s="14">
        <f t="shared" si="8"/>
        <v>672299.34325003601</v>
      </c>
      <c r="E86" s="14">
        <f t="shared" si="9"/>
        <v>34396.110345314533</v>
      </c>
      <c r="F86" s="14">
        <f t="shared" si="10"/>
        <v>706695.4535953505</v>
      </c>
      <c r="G86" s="14">
        <f t="shared" si="11"/>
        <v>7582767.1396254515</v>
      </c>
    </row>
    <row r="87" spans="1:7" ht="15" customHeight="1" x14ac:dyDescent="0.25">
      <c r="A87" s="50">
        <f t="shared" si="12"/>
        <v>74</v>
      </c>
      <c r="B87" s="15">
        <f>B86+31</f>
        <v>45657</v>
      </c>
      <c r="C87" s="14">
        <f t="shared" si="13"/>
        <v>7582767.1396254515</v>
      </c>
      <c r="D87" s="14">
        <f t="shared" si="8"/>
        <v>675100.5905135778</v>
      </c>
      <c r="E87" s="14">
        <f t="shared" si="9"/>
        <v>31594.863081772713</v>
      </c>
      <c r="F87" s="14">
        <f t="shared" si="10"/>
        <v>706695.4535953505</v>
      </c>
      <c r="G87" s="14">
        <f t="shared" si="11"/>
        <v>6907666.5491118738</v>
      </c>
    </row>
    <row r="88" spans="1:7" ht="15" customHeight="1" x14ac:dyDescent="0.25">
      <c r="A88" s="50">
        <f t="shared" si="12"/>
        <v>75</v>
      </c>
      <c r="B88" s="15">
        <f>B87+31</f>
        <v>45688</v>
      </c>
      <c r="C88" s="14">
        <f t="shared" si="13"/>
        <v>6907666.5491118738</v>
      </c>
      <c r="D88" s="14">
        <f t="shared" si="8"/>
        <v>677913.50964071765</v>
      </c>
      <c r="E88" s="14">
        <f t="shared" si="9"/>
        <v>28781.94395463281</v>
      </c>
      <c r="F88" s="14">
        <f t="shared" si="10"/>
        <v>706695.4535953505</v>
      </c>
      <c r="G88" s="14">
        <f t="shared" si="11"/>
        <v>6229753.039471156</v>
      </c>
    </row>
    <row r="89" spans="1:7" ht="15" customHeight="1" x14ac:dyDescent="0.25">
      <c r="A89" s="50">
        <f t="shared" si="12"/>
        <v>76</v>
      </c>
      <c r="B89" s="15">
        <f>B88+28</f>
        <v>45716</v>
      </c>
      <c r="C89" s="14">
        <f t="shared" si="13"/>
        <v>6229753.039471156</v>
      </c>
      <c r="D89" s="14">
        <f t="shared" si="8"/>
        <v>680738.14926422073</v>
      </c>
      <c r="E89" s="14">
        <f t="shared" si="9"/>
        <v>25957.304331129821</v>
      </c>
      <c r="F89" s="14">
        <f t="shared" si="10"/>
        <v>706695.4535953505</v>
      </c>
      <c r="G89" s="14">
        <f t="shared" si="11"/>
        <v>5549014.8902069349</v>
      </c>
    </row>
    <row r="90" spans="1:7" ht="15" customHeight="1" x14ac:dyDescent="0.25">
      <c r="A90" s="50">
        <f t="shared" si="12"/>
        <v>77</v>
      </c>
      <c r="B90" s="15">
        <f>B89+31</f>
        <v>45747</v>
      </c>
      <c r="C90" s="14">
        <f t="shared" si="13"/>
        <v>5549014.8902069349</v>
      </c>
      <c r="D90" s="14">
        <f t="shared" si="8"/>
        <v>683574.55821948824</v>
      </c>
      <c r="E90" s="14">
        <f t="shared" si="9"/>
        <v>23120.895375862227</v>
      </c>
      <c r="F90" s="14">
        <f t="shared" si="10"/>
        <v>706695.4535953505</v>
      </c>
      <c r="G90" s="14">
        <f t="shared" si="11"/>
        <v>4865440.3319874462</v>
      </c>
    </row>
    <row r="91" spans="1:7" ht="15" customHeight="1" x14ac:dyDescent="0.25">
      <c r="A91" s="50">
        <f t="shared" si="12"/>
        <v>78</v>
      </c>
      <c r="B91" s="15">
        <f>B90+30</f>
        <v>45777</v>
      </c>
      <c r="C91" s="14">
        <f t="shared" si="13"/>
        <v>4865440.3319874462</v>
      </c>
      <c r="D91" s="14">
        <f t="shared" si="8"/>
        <v>686422.78554540279</v>
      </c>
      <c r="E91" s="14">
        <f t="shared" si="9"/>
        <v>20272.668049947693</v>
      </c>
      <c r="F91" s="14">
        <f t="shared" si="10"/>
        <v>706695.4535953505</v>
      </c>
      <c r="G91" s="14">
        <f t="shared" si="11"/>
        <v>4179017.5464420435</v>
      </c>
    </row>
    <row r="92" spans="1:7" ht="15" customHeight="1" x14ac:dyDescent="0.25">
      <c r="A92" s="50">
        <f t="shared" si="12"/>
        <v>79</v>
      </c>
      <c r="B92" s="15">
        <f>B91+31</f>
        <v>45808</v>
      </c>
      <c r="C92" s="14">
        <f t="shared" si="13"/>
        <v>4179017.5464420435</v>
      </c>
      <c r="D92" s="14">
        <f t="shared" si="8"/>
        <v>689282.88048517529</v>
      </c>
      <c r="E92" s="14">
        <f t="shared" si="9"/>
        <v>17412.573110175184</v>
      </c>
      <c r="F92" s="14">
        <f t="shared" si="10"/>
        <v>706695.4535953505</v>
      </c>
      <c r="G92" s="14">
        <f t="shared" si="11"/>
        <v>3489734.6659568683</v>
      </c>
    </row>
    <row r="93" spans="1:7" ht="15" customHeight="1" x14ac:dyDescent="0.25">
      <c r="A93" s="50">
        <f t="shared" si="12"/>
        <v>80</v>
      </c>
      <c r="B93" s="15">
        <f>B92+30</f>
        <v>45838</v>
      </c>
      <c r="C93" s="14">
        <f t="shared" si="13"/>
        <v>3489734.6659568683</v>
      </c>
      <c r="D93" s="14">
        <f t="shared" si="8"/>
        <v>692154.89248719683</v>
      </c>
      <c r="E93" s="14">
        <f t="shared" si="9"/>
        <v>14540.561108153619</v>
      </c>
      <c r="F93" s="14">
        <f t="shared" si="10"/>
        <v>706695.4535953505</v>
      </c>
      <c r="G93" s="14">
        <f t="shared" si="11"/>
        <v>2797579.7734696716</v>
      </c>
    </row>
    <row r="94" spans="1:7" ht="15" customHeight="1" x14ac:dyDescent="0.25">
      <c r="A94" s="50">
        <f t="shared" si="12"/>
        <v>81</v>
      </c>
      <c r="B94" s="15">
        <f>B93+31</f>
        <v>45869</v>
      </c>
      <c r="C94" s="14">
        <f t="shared" si="13"/>
        <v>2797579.7734696716</v>
      </c>
      <c r="D94" s="14">
        <f t="shared" si="8"/>
        <v>695038.87120589358</v>
      </c>
      <c r="E94" s="14">
        <f t="shared" si="9"/>
        <v>11656.582389456964</v>
      </c>
      <c r="F94" s="14">
        <f t="shared" si="10"/>
        <v>706695.4535953505</v>
      </c>
      <c r="G94" s="14">
        <f t="shared" si="11"/>
        <v>2102540.9022637783</v>
      </c>
    </row>
    <row r="95" spans="1:7" ht="15" customHeight="1" x14ac:dyDescent="0.25">
      <c r="A95" s="50">
        <f t="shared" si="12"/>
        <v>82</v>
      </c>
      <c r="B95" s="15">
        <f>B94+31</f>
        <v>45900</v>
      </c>
      <c r="C95" s="14">
        <f t="shared" si="13"/>
        <v>2102540.9022637783</v>
      </c>
      <c r="D95" s="14">
        <f t="shared" si="8"/>
        <v>697934.86650258477</v>
      </c>
      <c r="E95" s="14">
        <f t="shared" si="9"/>
        <v>8760.5870927657434</v>
      </c>
      <c r="F95" s="14">
        <f t="shared" si="10"/>
        <v>706695.4535953505</v>
      </c>
      <c r="G95" s="14">
        <f t="shared" si="11"/>
        <v>1404606.0357611934</v>
      </c>
    </row>
    <row r="96" spans="1:7" ht="15" customHeight="1" x14ac:dyDescent="0.25">
      <c r="A96" s="50">
        <f t="shared" si="12"/>
        <v>83</v>
      </c>
      <c r="B96" s="15">
        <f>B95+30</f>
        <v>45930</v>
      </c>
      <c r="C96" s="14">
        <f t="shared" si="13"/>
        <v>1404606.0357611934</v>
      </c>
      <c r="D96" s="14">
        <f t="shared" si="8"/>
        <v>700842.9284463455</v>
      </c>
      <c r="E96" s="14">
        <f t="shared" si="9"/>
        <v>5852.5251490049732</v>
      </c>
      <c r="F96" s="14">
        <f t="shared" si="10"/>
        <v>706695.4535953505</v>
      </c>
      <c r="G96" s="14">
        <f t="shared" si="11"/>
        <v>703763.10731484788</v>
      </c>
    </row>
    <row r="97" spans="1:7" ht="15" customHeight="1" x14ac:dyDescent="0.25">
      <c r="A97" s="50">
        <f t="shared" si="12"/>
        <v>84</v>
      </c>
      <c r="B97" s="15">
        <f>B96+31</f>
        <v>45961</v>
      </c>
      <c r="C97" s="14">
        <f t="shared" si="13"/>
        <v>703763.10731484788</v>
      </c>
      <c r="D97" s="14">
        <f t="shared" si="8"/>
        <v>703763.10731487197</v>
      </c>
      <c r="E97" s="14">
        <f t="shared" si="9"/>
        <v>2932.3462804785327</v>
      </c>
      <c r="F97" s="14">
        <f t="shared" si="10"/>
        <v>706695.4535953505</v>
      </c>
      <c r="G97" s="14">
        <f t="shared" si="11"/>
        <v>-2.4097971618175507E-8</v>
      </c>
    </row>
    <row r="98" spans="1:7" ht="15.75" x14ac:dyDescent="0.25">
      <c r="A98" s="65" t="s">
        <v>20</v>
      </c>
      <c r="B98" s="65"/>
      <c r="C98" s="65"/>
      <c r="D98" s="52">
        <f>SUM(D14:D97)</f>
        <v>50000000.000000022</v>
      </c>
      <c r="E98" s="52">
        <f>SUM(E14:E97)</f>
        <v>9362418.1020094305</v>
      </c>
      <c r="F98" s="53">
        <f>D98+E98</f>
        <v>59362418.102009453</v>
      </c>
    </row>
    <row r="99" spans="1:7" x14ac:dyDescent="0.2">
      <c r="B99" s="5"/>
      <c r="C99" s="4"/>
      <c r="D99" s="4"/>
      <c r="E99" s="4"/>
    </row>
    <row r="100" spans="1:7" x14ac:dyDescent="0.2">
      <c r="B100" s="5"/>
      <c r="C100" s="4"/>
      <c r="D100" s="4"/>
      <c r="E100" s="4"/>
    </row>
    <row r="101" spans="1:7" x14ac:dyDescent="0.2">
      <c r="B101" s="5"/>
      <c r="C101" s="4"/>
      <c r="D101" s="4"/>
      <c r="E101" s="4"/>
    </row>
    <row r="102" spans="1:7" x14ac:dyDescent="0.2">
      <c r="B102" s="5"/>
      <c r="C102" s="4"/>
      <c r="D102" s="4"/>
      <c r="E102" s="4"/>
    </row>
    <row r="103" spans="1:7" x14ac:dyDescent="0.2">
      <c r="B103" s="5"/>
      <c r="C103" s="4"/>
      <c r="D103" s="4"/>
      <c r="E103" s="4"/>
    </row>
    <row r="104" spans="1:7" x14ac:dyDescent="0.2">
      <c r="C104" s="4"/>
      <c r="D104" s="4"/>
      <c r="E104" s="4"/>
    </row>
    <row r="105" spans="1:7" x14ac:dyDescent="0.2">
      <c r="C105" s="4"/>
      <c r="D105" s="4"/>
      <c r="E105" s="4"/>
    </row>
    <row r="106" spans="1:7" x14ac:dyDescent="0.2">
      <c r="C106" s="4"/>
      <c r="D106" s="4"/>
      <c r="E106" s="4"/>
    </row>
    <row r="107" spans="1:7" x14ac:dyDescent="0.2">
      <c r="C107" s="4"/>
      <c r="D107" s="4"/>
      <c r="E107" s="4"/>
      <c r="F107" s="4"/>
      <c r="G107" s="4"/>
    </row>
    <row r="111" spans="1:7" x14ac:dyDescent="0.2">
      <c r="F111" s="4"/>
    </row>
    <row r="112" spans="1:7" x14ac:dyDescent="0.2">
      <c r="C112" s="4"/>
      <c r="D112" s="4"/>
      <c r="E112" s="4"/>
      <c r="F112" s="4"/>
    </row>
    <row r="113" spans="3:6" x14ac:dyDescent="0.2">
      <c r="C113" s="4"/>
      <c r="D113" s="4"/>
      <c r="E113" s="4"/>
      <c r="F113" s="4"/>
    </row>
    <row r="114" spans="3:6" x14ac:dyDescent="0.2">
      <c r="C114" s="4"/>
      <c r="D114" s="4"/>
      <c r="E114" s="4"/>
    </row>
    <row r="115" spans="3:6" x14ac:dyDescent="0.2">
      <c r="C115" s="4"/>
      <c r="D115" s="4"/>
      <c r="E115" s="4"/>
      <c r="F115" s="4"/>
    </row>
    <row r="116" spans="3:6" x14ac:dyDescent="0.2">
      <c r="C116" s="4"/>
      <c r="D116" s="4"/>
      <c r="E116" s="4"/>
      <c r="F116" s="4"/>
    </row>
    <row r="117" spans="3:6" x14ac:dyDescent="0.2">
      <c r="C117" s="4"/>
      <c r="D117" s="4"/>
      <c r="E117" s="4"/>
      <c r="F117" s="4"/>
    </row>
    <row r="118" spans="3:6" x14ac:dyDescent="0.2">
      <c r="C118" s="4"/>
      <c r="D118" s="4"/>
      <c r="E118" s="4"/>
      <c r="F118" s="4"/>
    </row>
    <row r="119" spans="3:6" x14ac:dyDescent="0.2">
      <c r="C119" s="4"/>
      <c r="D119" s="4"/>
      <c r="E119" s="4"/>
      <c r="F119" s="4"/>
    </row>
    <row r="120" spans="3:6" x14ac:dyDescent="0.2">
      <c r="C120" s="4"/>
      <c r="D120" s="4"/>
      <c r="E120" s="4"/>
      <c r="F120" s="4"/>
    </row>
    <row r="121" spans="3:6" x14ac:dyDescent="0.2">
      <c r="C121" s="4"/>
      <c r="D121" s="4"/>
      <c r="E121" s="4"/>
      <c r="F121" s="4"/>
    </row>
    <row r="122" spans="3:6" x14ac:dyDescent="0.2">
      <c r="C122" s="4"/>
      <c r="D122" s="4"/>
      <c r="E122" s="4"/>
      <c r="F122" s="4"/>
    </row>
    <row r="123" spans="3:6" x14ac:dyDescent="0.2">
      <c r="C123" s="4"/>
      <c r="D123" s="4"/>
      <c r="E123" s="4"/>
      <c r="F123" s="4"/>
    </row>
    <row r="124" spans="3:6" x14ac:dyDescent="0.2">
      <c r="C124" s="4"/>
      <c r="D124" s="4"/>
      <c r="E124" s="4"/>
      <c r="F124" s="4"/>
    </row>
    <row r="125" spans="3:6" x14ac:dyDescent="0.2">
      <c r="C125" s="4"/>
      <c r="D125" s="4"/>
      <c r="E125" s="4"/>
      <c r="F125" s="4"/>
    </row>
    <row r="126" spans="3:6" x14ac:dyDescent="0.2">
      <c r="C126" s="4"/>
      <c r="D126" s="4"/>
      <c r="E126" s="4"/>
      <c r="F126" s="4"/>
    </row>
    <row r="127" spans="3:6" x14ac:dyDescent="0.2">
      <c r="C127" s="4"/>
      <c r="D127" s="4"/>
      <c r="E127" s="4"/>
      <c r="F127" s="4"/>
    </row>
    <row r="128" spans="3:6" x14ac:dyDescent="0.2">
      <c r="C128" s="4"/>
      <c r="D128" s="4"/>
      <c r="E128" s="4"/>
      <c r="F128" s="4"/>
    </row>
    <row r="129" spans="3:6" x14ac:dyDescent="0.2">
      <c r="C129" s="4"/>
      <c r="D129" s="4"/>
      <c r="E129" s="4"/>
      <c r="F129" s="4"/>
    </row>
    <row r="130" spans="3:6" x14ac:dyDescent="0.2">
      <c r="C130" s="4"/>
      <c r="D130" s="4"/>
      <c r="E130" s="4"/>
      <c r="F130" s="4"/>
    </row>
    <row r="131" spans="3:6" x14ac:dyDescent="0.2">
      <c r="C131" s="4"/>
      <c r="D131" s="4"/>
      <c r="E131" s="4"/>
      <c r="F131" s="4"/>
    </row>
    <row r="132" spans="3:6" x14ac:dyDescent="0.2">
      <c r="C132" s="4"/>
      <c r="D132" s="4"/>
      <c r="E132" s="4"/>
      <c r="F132" s="4"/>
    </row>
    <row r="133" spans="3:6" x14ac:dyDescent="0.2">
      <c r="C133" s="4"/>
      <c r="D133" s="4"/>
      <c r="E133" s="4"/>
      <c r="F133" s="4"/>
    </row>
    <row r="134" spans="3:6" x14ac:dyDescent="0.2">
      <c r="C134" s="4"/>
      <c r="D134" s="4"/>
      <c r="E134" s="4"/>
      <c r="F134" s="4"/>
    </row>
    <row r="135" spans="3:6" x14ac:dyDescent="0.2">
      <c r="C135" s="4"/>
      <c r="D135" s="4"/>
      <c r="E135" s="4"/>
      <c r="F135" s="4"/>
    </row>
    <row r="136" spans="3:6" x14ac:dyDescent="0.2">
      <c r="C136" s="4"/>
      <c r="D136" s="4"/>
      <c r="E136" s="4"/>
      <c r="F136" s="4"/>
    </row>
    <row r="137" spans="3:6" x14ac:dyDescent="0.2">
      <c r="C137" s="4"/>
      <c r="D137" s="4"/>
      <c r="E137" s="4"/>
      <c r="F137" s="4"/>
    </row>
    <row r="138" spans="3:6" x14ac:dyDescent="0.2">
      <c r="C138" s="4"/>
      <c r="D138" s="4"/>
      <c r="E138" s="4"/>
      <c r="F138" s="4"/>
    </row>
    <row r="139" spans="3:6" x14ac:dyDescent="0.2">
      <c r="C139" s="4"/>
      <c r="D139" s="4"/>
      <c r="E139" s="4"/>
      <c r="F139" s="4"/>
    </row>
    <row r="140" spans="3:6" x14ac:dyDescent="0.2">
      <c r="C140" s="4"/>
      <c r="D140" s="4"/>
      <c r="E140" s="4"/>
      <c r="F140" s="4"/>
    </row>
    <row r="141" spans="3:6" x14ac:dyDescent="0.2">
      <c r="C141" s="4"/>
      <c r="D141" s="4"/>
      <c r="E141" s="4"/>
      <c r="F141" s="4"/>
    </row>
    <row r="142" spans="3:6" x14ac:dyDescent="0.2">
      <c r="C142" s="4"/>
      <c r="D142" s="4"/>
      <c r="E142" s="4"/>
      <c r="F142" s="4"/>
    </row>
    <row r="143" spans="3:6" x14ac:dyDescent="0.2">
      <c r="C143" s="4"/>
      <c r="D143" s="4"/>
      <c r="E143" s="4"/>
      <c r="F143" s="4"/>
    </row>
    <row r="144" spans="3:6" x14ac:dyDescent="0.2">
      <c r="C144" s="4"/>
      <c r="D144" s="4"/>
      <c r="E144" s="4"/>
      <c r="F144" s="4"/>
    </row>
    <row r="145" spans="3:6" x14ac:dyDescent="0.2">
      <c r="C145" s="4"/>
      <c r="D145" s="4"/>
      <c r="E145" s="4"/>
      <c r="F145" s="4"/>
    </row>
    <row r="146" spans="3:6" x14ac:dyDescent="0.2">
      <c r="C146" s="4"/>
      <c r="D146" s="4"/>
      <c r="E146" s="4"/>
      <c r="F146" s="4"/>
    </row>
    <row r="147" spans="3:6" x14ac:dyDescent="0.2">
      <c r="C147" s="4"/>
      <c r="D147" s="4"/>
      <c r="E147" s="4"/>
      <c r="F147" s="4"/>
    </row>
    <row r="148" spans="3:6" x14ac:dyDescent="0.2">
      <c r="C148" s="4"/>
      <c r="D148" s="4"/>
      <c r="E148" s="4"/>
      <c r="F148" s="4"/>
    </row>
    <row r="149" spans="3:6" x14ac:dyDescent="0.2">
      <c r="C149" s="4"/>
      <c r="D149" s="4"/>
      <c r="E149" s="4"/>
      <c r="F149" s="4"/>
    </row>
    <row r="150" spans="3:6" x14ac:dyDescent="0.2">
      <c r="C150" s="4"/>
      <c r="D150" s="4"/>
      <c r="E150" s="4"/>
      <c r="F150" s="4"/>
    </row>
    <row r="151" spans="3:6" x14ac:dyDescent="0.2">
      <c r="C151" s="4"/>
      <c r="D151" s="4"/>
      <c r="E151" s="4"/>
      <c r="F151" s="4"/>
    </row>
    <row r="152" spans="3:6" x14ac:dyDescent="0.2">
      <c r="C152" s="4"/>
      <c r="D152" s="4"/>
      <c r="E152" s="4"/>
      <c r="F152" s="4"/>
    </row>
    <row r="153" spans="3:6" x14ac:dyDescent="0.2">
      <c r="C153" s="4"/>
      <c r="D153" s="4"/>
      <c r="E153" s="4"/>
      <c r="F153" s="4"/>
    </row>
    <row r="154" spans="3:6" x14ac:dyDescent="0.2">
      <c r="C154" s="4"/>
      <c r="D154" s="4"/>
      <c r="E154" s="4"/>
      <c r="F154" s="4"/>
    </row>
    <row r="155" spans="3:6" x14ac:dyDescent="0.2">
      <c r="C155" s="4"/>
      <c r="D155" s="4"/>
      <c r="E155" s="4"/>
      <c r="F155" s="4"/>
    </row>
    <row r="156" spans="3:6" x14ac:dyDescent="0.2">
      <c r="C156" s="4"/>
      <c r="D156" s="4"/>
      <c r="E156" s="4"/>
      <c r="F156" s="4"/>
    </row>
    <row r="157" spans="3:6" x14ac:dyDescent="0.2">
      <c r="C157" s="4"/>
      <c r="D157" s="4"/>
      <c r="E157" s="4"/>
      <c r="F157" s="4"/>
    </row>
    <row r="158" spans="3:6" x14ac:dyDescent="0.2">
      <c r="C158" s="4"/>
      <c r="D158" s="4"/>
      <c r="E158" s="4"/>
      <c r="F158" s="4"/>
    </row>
    <row r="159" spans="3:6" x14ac:dyDescent="0.2">
      <c r="C159" s="4"/>
      <c r="D159" s="4"/>
      <c r="E159" s="4"/>
      <c r="F159" s="4"/>
    </row>
    <row r="160" spans="3:6" x14ac:dyDescent="0.2">
      <c r="C160" s="4"/>
      <c r="D160" s="4"/>
      <c r="E160" s="4"/>
      <c r="F160" s="4"/>
    </row>
    <row r="161" spans="3:6" x14ac:dyDescent="0.2">
      <c r="C161" s="4"/>
      <c r="D161" s="4"/>
      <c r="E161" s="4"/>
      <c r="F161" s="4"/>
    </row>
    <row r="162" spans="3:6" x14ac:dyDescent="0.2">
      <c r="C162" s="4"/>
      <c r="D162" s="4"/>
      <c r="E162" s="4"/>
      <c r="F162" s="4"/>
    </row>
    <row r="163" spans="3:6" x14ac:dyDescent="0.2">
      <c r="C163" s="4"/>
      <c r="D163" s="4"/>
      <c r="E163" s="4"/>
      <c r="F163" s="4"/>
    </row>
    <row r="164" spans="3:6" x14ac:dyDescent="0.2">
      <c r="C164" s="4"/>
      <c r="D164" s="4"/>
      <c r="E164" s="4"/>
      <c r="F164" s="4"/>
    </row>
    <row r="165" spans="3:6" x14ac:dyDescent="0.2">
      <c r="C165" s="4"/>
      <c r="D165" s="4"/>
      <c r="E165" s="4"/>
      <c r="F165" s="4"/>
    </row>
    <row r="166" spans="3:6" x14ac:dyDescent="0.2">
      <c r="C166" s="4"/>
      <c r="D166" s="4"/>
      <c r="E166" s="4"/>
      <c r="F166" s="4"/>
    </row>
    <row r="167" spans="3:6" x14ac:dyDescent="0.2">
      <c r="C167" s="4"/>
      <c r="D167" s="4"/>
      <c r="E167" s="4"/>
      <c r="F167" s="4"/>
    </row>
    <row r="168" spans="3:6" x14ac:dyDescent="0.2">
      <c r="C168" s="4"/>
      <c r="D168" s="4"/>
      <c r="E168" s="4"/>
      <c r="F168" s="4"/>
    </row>
    <row r="169" spans="3:6" x14ac:dyDescent="0.2">
      <c r="C169" s="4"/>
      <c r="D169" s="4"/>
      <c r="E169" s="4"/>
      <c r="F169" s="4"/>
    </row>
    <row r="170" spans="3:6" x14ac:dyDescent="0.2">
      <c r="C170" s="4"/>
      <c r="D170" s="4"/>
      <c r="E170" s="4"/>
      <c r="F170" s="4"/>
    </row>
    <row r="171" spans="3:6" x14ac:dyDescent="0.2">
      <c r="C171" s="4"/>
      <c r="D171" s="4"/>
      <c r="E171" s="4"/>
      <c r="F171" s="4"/>
    </row>
    <row r="172" spans="3:6" x14ac:dyDescent="0.2">
      <c r="C172" s="4"/>
      <c r="D172" s="4"/>
      <c r="E172" s="4"/>
      <c r="F172" s="4"/>
    </row>
    <row r="173" spans="3:6" x14ac:dyDescent="0.2">
      <c r="C173" s="4"/>
      <c r="D173" s="4"/>
      <c r="E173" s="4"/>
      <c r="F173" s="4"/>
    </row>
    <row r="174" spans="3:6" x14ac:dyDescent="0.2">
      <c r="C174" s="4"/>
      <c r="D174" s="4"/>
      <c r="E174" s="4"/>
      <c r="F174" s="4"/>
    </row>
    <row r="175" spans="3:6" x14ac:dyDescent="0.2">
      <c r="C175" s="4"/>
      <c r="D175" s="4"/>
      <c r="E175" s="4"/>
      <c r="F175" s="4"/>
    </row>
    <row r="176" spans="3:6" x14ac:dyDescent="0.2">
      <c r="C176" s="4"/>
      <c r="D176" s="4"/>
      <c r="E176" s="4"/>
      <c r="F176" s="4"/>
    </row>
    <row r="177" spans="3:6" x14ac:dyDescent="0.2">
      <c r="C177" s="4"/>
      <c r="D177" s="4"/>
      <c r="E177" s="4"/>
      <c r="F177" s="4"/>
    </row>
    <row r="178" spans="3:6" x14ac:dyDescent="0.2">
      <c r="C178" s="4"/>
      <c r="D178" s="4"/>
      <c r="E178" s="4"/>
      <c r="F178" s="4"/>
    </row>
    <row r="179" spans="3:6" x14ac:dyDescent="0.2">
      <c r="C179" s="4"/>
      <c r="D179" s="4"/>
      <c r="E179" s="4"/>
      <c r="F179" s="4"/>
    </row>
    <row r="180" spans="3:6" x14ac:dyDescent="0.2">
      <c r="C180" s="4"/>
      <c r="D180" s="4"/>
      <c r="E180" s="4"/>
      <c r="F180" s="4"/>
    </row>
    <row r="181" spans="3:6" x14ac:dyDescent="0.2">
      <c r="C181" s="4"/>
      <c r="D181" s="4"/>
      <c r="E181" s="4"/>
      <c r="F181" s="4"/>
    </row>
    <row r="182" spans="3:6" x14ac:dyDescent="0.2">
      <c r="C182" s="4"/>
      <c r="D182" s="4"/>
      <c r="E182" s="4"/>
      <c r="F182" s="4"/>
    </row>
  </sheetData>
  <mergeCells count="6">
    <mergeCell ref="A2:G2"/>
    <mergeCell ref="C3:D3"/>
    <mergeCell ref="C4:D4"/>
    <mergeCell ref="C6:D6"/>
    <mergeCell ref="D11:F12"/>
    <mergeCell ref="A98:C98"/>
  </mergeCells>
  <printOptions horizontalCentered="1"/>
  <pageMargins left="0.19685039370078741" right="0.19685039370078741" top="0.19685039370078741" bottom="0.39370078740157483" header="0.23622047244094491" footer="0.19685039370078741"/>
  <pageSetup paperSize="9" orientation="portrait" r:id="rId1"/>
  <headerFooter alignWithMargins="0">
    <oddFooter>Page &amp;P</oddFoot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Simulasi</vt:lpstr>
      <vt:lpstr>Simulasi!Print_Area</vt:lpstr>
      <vt:lpstr>Simulasi!Print_Titles</vt:lpstr>
    </vt:vector>
  </TitlesOfParts>
  <Company>Toyota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Faizal Maulana</dc:creator>
  <cp:lastModifiedBy>WNEJG</cp:lastModifiedBy>
  <cp:lastPrinted>2018-07-24T02:03:55Z</cp:lastPrinted>
  <dcterms:created xsi:type="dcterms:W3CDTF">2010-07-14T03:50:37Z</dcterms:created>
  <dcterms:modified xsi:type="dcterms:W3CDTF">2018-09-26T09:19:29Z</dcterms:modified>
</cp:coreProperties>
</file>